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ekhanhlinh/Downloads/"/>
    </mc:Choice>
  </mc:AlternateContent>
  <xr:revisionPtr revIDLastSave="0" documentId="13_ncr:1_{29749B47-10C0-1044-87ED-D4AACB353F49}" xr6:coauthVersionLast="47" xr6:coauthVersionMax="47" xr10:uidLastSave="{00000000-0000-0000-0000-000000000000}"/>
  <bookViews>
    <workbookView xWindow="0" yWindow="760" windowWidth="29400" windowHeight="16840" activeTab="4" xr2:uid="{00000000-000D-0000-FFFF-FFFF00000000}"/>
  </bookViews>
  <sheets>
    <sheet name="BTTH 1" sheetId="1" r:id="rId1"/>
    <sheet name="BTTH2" sheetId="2" r:id="rId2"/>
    <sheet name="BTTH3" sheetId="3" r:id="rId3"/>
    <sheet name="BTTH4" sheetId="4" r:id="rId4"/>
    <sheet name="BTTH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5" l="1"/>
  <c r="L2" i="5"/>
  <c r="K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L3" i="4"/>
  <c r="L4" i="4"/>
  <c r="L6" i="4"/>
  <c r="L7" i="4"/>
  <c r="L8" i="4"/>
  <c r="L9" i="4"/>
  <c r="L10" i="4"/>
  <c r="L11" i="4"/>
  <c r="L12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6" i="4"/>
  <c r="L47" i="4"/>
  <c r="L48" i="4"/>
  <c r="L49" i="4"/>
  <c r="L50" i="4"/>
  <c r="L51" i="4"/>
  <c r="L52" i="4"/>
  <c r="L53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8" i="4"/>
  <c r="L119" i="4"/>
  <c r="L120" i="4"/>
  <c r="L121" i="4"/>
  <c r="L122" i="4"/>
  <c r="L124" i="4"/>
  <c r="L125" i="4"/>
  <c r="L126" i="4"/>
  <c r="L127" i="4"/>
  <c r="L129" i="4"/>
  <c r="L130" i="4"/>
  <c r="L131" i="4"/>
  <c r="L132" i="4"/>
  <c r="L133" i="4"/>
  <c r="L134" i="4"/>
  <c r="L135" i="4"/>
  <c r="L136" i="4"/>
  <c r="K38" i="4"/>
  <c r="J2" i="4"/>
  <c r="K2" i="4" s="1"/>
  <c r="J3" i="4"/>
  <c r="K3" i="4" s="1"/>
  <c r="J4" i="4"/>
  <c r="K4" i="4" s="1"/>
  <c r="J5" i="4"/>
  <c r="K5" i="4" s="1"/>
  <c r="J6" i="4"/>
  <c r="J7" i="4"/>
  <c r="J8" i="4"/>
  <c r="J9" i="4"/>
  <c r="J10" i="4"/>
  <c r="J11" i="4"/>
  <c r="K11" i="4" s="1"/>
  <c r="J12" i="4"/>
  <c r="K12" i="4" s="1"/>
  <c r="J13" i="4"/>
  <c r="K13" i="4" s="1"/>
  <c r="J14" i="4"/>
  <c r="K14" i="4" s="1"/>
  <c r="J15" i="4"/>
  <c r="K15" i="4" s="1"/>
  <c r="J16" i="4"/>
  <c r="J17" i="4"/>
  <c r="J18" i="4"/>
  <c r="J19" i="4"/>
  <c r="J20" i="4"/>
  <c r="J21" i="4"/>
  <c r="K21" i="4" s="1"/>
  <c r="J22" i="4"/>
  <c r="K22" i="4" s="1"/>
  <c r="J23" i="4"/>
  <c r="K23" i="4" s="1"/>
  <c r="J24" i="4"/>
  <c r="K24" i="4" s="1"/>
  <c r="J25" i="4"/>
  <c r="K25" i="4" s="1"/>
  <c r="J26" i="4"/>
  <c r="J27" i="4"/>
  <c r="J28" i="4"/>
  <c r="J29" i="4"/>
  <c r="J30" i="4"/>
  <c r="J31" i="4"/>
  <c r="K31" i="4" s="1"/>
  <c r="J32" i="4"/>
  <c r="K32" i="4" s="1"/>
  <c r="J33" i="4"/>
  <c r="K33" i="4" s="1"/>
  <c r="J34" i="4"/>
  <c r="K34" i="4" s="1"/>
  <c r="J35" i="4"/>
  <c r="K35" i="4" s="1"/>
  <c r="J36" i="4"/>
  <c r="J37" i="4"/>
  <c r="J38" i="4"/>
  <c r="J39" i="4"/>
  <c r="J40" i="4"/>
  <c r="J41" i="4"/>
  <c r="K41" i="4" s="1"/>
  <c r="J42" i="4"/>
  <c r="K42" i="4" s="1"/>
  <c r="J43" i="4"/>
  <c r="K43" i="4" s="1"/>
  <c r="J44" i="4"/>
  <c r="K44" i="4" s="1"/>
  <c r="J45" i="4"/>
  <c r="K45" i="4" s="1"/>
  <c r="J46" i="4"/>
  <c r="J47" i="4"/>
  <c r="J48" i="4"/>
  <c r="J49" i="4"/>
  <c r="J50" i="4"/>
  <c r="J51" i="4"/>
  <c r="K51" i="4" s="1"/>
  <c r="J52" i="4"/>
  <c r="K52" i="4" s="1"/>
  <c r="J53" i="4"/>
  <c r="K53" i="4" s="1"/>
  <c r="J54" i="4"/>
  <c r="K54" i="4" s="1"/>
  <c r="J55" i="4"/>
  <c r="K55" i="4" s="1"/>
  <c r="J56" i="4"/>
  <c r="J57" i="4"/>
  <c r="J58" i="4"/>
  <c r="J59" i="4"/>
  <c r="J60" i="4"/>
  <c r="J61" i="4"/>
  <c r="K61" i="4" s="1"/>
  <c r="J62" i="4"/>
  <c r="K62" i="4" s="1"/>
  <c r="J63" i="4"/>
  <c r="K63" i="4" s="1"/>
  <c r="J64" i="4"/>
  <c r="K64" i="4" s="1"/>
  <c r="J65" i="4"/>
  <c r="K65" i="4" s="1"/>
  <c r="J66" i="4"/>
  <c r="J67" i="4"/>
  <c r="J68" i="4"/>
  <c r="J69" i="4"/>
  <c r="J70" i="4"/>
  <c r="J71" i="4"/>
  <c r="K71" i="4" s="1"/>
  <c r="J72" i="4"/>
  <c r="K72" i="4" s="1"/>
  <c r="J73" i="4"/>
  <c r="K73" i="4" s="1"/>
  <c r="J74" i="4"/>
  <c r="K74" i="4" s="1"/>
  <c r="J75" i="4"/>
  <c r="K75" i="4" s="1"/>
  <c r="J76" i="4"/>
  <c r="J77" i="4"/>
  <c r="J78" i="4"/>
  <c r="J79" i="4"/>
  <c r="J80" i="4"/>
  <c r="J81" i="4"/>
  <c r="K81" i="4" s="1"/>
  <c r="J82" i="4"/>
  <c r="K82" i="4" s="1"/>
  <c r="J83" i="4"/>
  <c r="K83" i="4" s="1"/>
  <c r="J84" i="4"/>
  <c r="K84" i="4" s="1"/>
  <c r="J85" i="4"/>
  <c r="K85" i="4" s="1"/>
  <c r="J86" i="4"/>
  <c r="J87" i="4"/>
  <c r="J88" i="4"/>
  <c r="J89" i="4"/>
  <c r="J90" i="4"/>
  <c r="J91" i="4"/>
  <c r="K91" i="4" s="1"/>
  <c r="J92" i="4"/>
  <c r="K92" i="4" s="1"/>
  <c r="J93" i="4"/>
  <c r="K93" i="4" s="1"/>
  <c r="J94" i="4"/>
  <c r="K94" i="4" s="1"/>
  <c r="J95" i="4"/>
  <c r="K95" i="4" s="1"/>
  <c r="J96" i="4"/>
  <c r="J97" i="4"/>
  <c r="J98" i="4"/>
  <c r="J99" i="4"/>
  <c r="J100" i="4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J107" i="4"/>
  <c r="J108" i="4"/>
  <c r="J109" i="4"/>
  <c r="J110" i="4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J117" i="4"/>
  <c r="J118" i="4"/>
  <c r="J119" i="4"/>
  <c r="J120" i="4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J127" i="4"/>
  <c r="J128" i="4"/>
  <c r="J129" i="4"/>
  <c r="J130" i="4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I2" i="4"/>
  <c r="I3" i="4"/>
  <c r="I4" i="4"/>
  <c r="I5" i="4"/>
  <c r="I6" i="4"/>
  <c r="K6" i="4" s="1"/>
  <c r="I7" i="4"/>
  <c r="K7" i="4" s="1"/>
  <c r="I8" i="4"/>
  <c r="K8" i="4" s="1"/>
  <c r="I9" i="4"/>
  <c r="K9" i="4" s="1"/>
  <c r="I10" i="4"/>
  <c r="K10" i="4" s="1"/>
  <c r="I11" i="4"/>
  <c r="I12" i="4"/>
  <c r="I13" i="4"/>
  <c r="I14" i="4"/>
  <c r="I15" i="4"/>
  <c r="I16" i="4"/>
  <c r="K16" i="4" s="1"/>
  <c r="I17" i="4"/>
  <c r="K17" i="4" s="1"/>
  <c r="I18" i="4"/>
  <c r="K18" i="4" s="1"/>
  <c r="I19" i="4"/>
  <c r="K19" i="4" s="1"/>
  <c r="I20" i="4"/>
  <c r="K20" i="4" s="1"/>
  <c r="I21" i="4"/>
  <c r="I22" i="4"/>
  <c r="I23" i="4"/>
  <c r="I24" i="4"/>
  <c r="I25" i="4"/>
  <c r="I26" i="4"/>
  <c r="K26" i="4" s="1"/>
  <c r="I27" i="4"/>
  <c r="K27" i="4" s="1"/>
  <c r="I28" i="4"/>
  <c r="K28" i="4" s="1"/>
  <c r="I29" i="4"/>
  <c r="K29" i="4" s="1"/>
  <c r="I30" i="4"/>
  <c r="K30" i="4" s="1"/>
  <c r="I31" i="4"/>
  <c r="I32" i="4"/>
  <c r="I33" i="4"/>
  <c r="I34" i="4"/>
  <c r="I35" i="4"/>
  <c r="I36" i="4"/>
  <c r="K36" i="4" s="1"/>
  <c r="I37" i="4"/>
  <c r="K37" i="4" s="1"/>
  <c r="I38" i="4"/>
  <c r="I39" i="4"/>
  <c r="K39" i="4" s="1"/>
  <c r="I40" i="4"/>
  <c r="K40" i="4" s="1"/>
  <c r="I41" i="4"/>
  <c r="I42" i="4"/>
  <c r="I43" i="4"/>
  <c r="I44" i="4"/>
  <c r="I45" i="4"/>
  <c r="I46" i="4"/>
  <c r="K46" i="4" s="1"/>
  <c r="I47" i="4"/>
  <c r="K47" i="4" s="1"/>
  <c r="I48" i="4"/>
  <c r="K48" i="4" s="1"/>
  <c r="I49" i="4"/>
  <c r="K49" i="4" s="1"/>
  <c r="I50" i="4"/>
  <c r="K50" i="4" s="1"/>
  <c r="I51" i="4"/>
  <c r="I52" i="4"/>
  <c r="I53" i="4"/>
  <c r="I54" i="4"/>
  <c r="I55" i="4"/>
  <c r="I56" i="4"/>
  <c r="K56" i="4" s="1"/>
  <c r="I57" i="4"/>
  <c r="K57" i="4" s="1"/>
  <c r="I58" i="4"/>
  <c r="K58" i="4" s="1"/>
  <c r="I59" i="4"/>
  <c r="K59" i="4" s="1"/>
  <c r="I60" i="4"/>
  <c r="K60" i="4" s="1"/>
  <c r="I61" i="4"/>
  <c r="I62" i="4"/>
  <c r="I63" i="4"/>
  <c r="I64" i="4"/>
  <c r="I65" i="4"/>
  <c r="I66" i="4"/>
  <c r="K66" i="4" s="1"/>
  <c r="I67" i="4"/>
  <c r="K67" i="4" s="1"/>
  <c r="I68" i="4"/>
  <c r="K68" i="4" s="1"/>
  <c r="I69" i="4"/>
  <c r="K69" i="4" s="1"/>
  <c r="I70" i="4"/>
  <c r="K70" i="4" s="1"/>
  <c r="I71" i="4"/>
  <c r="I72" i="4"/>
  <c r="I73" i="4"/>
  <c r="I74" i="4"/>
  <c r="I75" i="4"/>
  <c r="I76" i="4"/>
  <c r="K76" i="4" s="1"/>
  <c r="I77" i="4"/>
  <c r="K77" i="4" s="1"/>
  <c r="I78" i="4"/>
  <c r="K78" i="4" s="1"/>
  <c r="I79" i="4"/>
  <c r="K79" i="4" s="1"/>
  <c r="I80" i="4"/>
  <c r="K80" i="4" s="1"/>
  <c r="I81" i="4"/>
  <c r="I82" i="4"/>
  <c r="I83" i="4"/>
  <c r="I84" i="4"/>
  <c r="I85" i="4"/>
  <c r="I86" i="4"/>
  <c r="K86" i="4" s="1"/>
  <c r="I87" i="4"/>
  <c r="K87" i="4" s="1"/>
  <c r="I88" i="4"/>
  <c r="K88" i="4" s="1"/>
  <c r="I89" i="4"/>
  <c r="K89" i="4" s="1"/>
  <c r="I90" i="4"/>
  <c r="K90" i="4" s="1"/>
  <c r="I91" i="4"/>
  <c r="I92" i="4"/>
  <c r="I93" i="4"/>
  <c r="I94" i="4"/>
  <c r="I95" i="4"/>
  <c r="I96" i="4"/>
  <c r="K96" i="4" s="1"/>
  <c r="I97" i="4"/>
  <c r="K97" i="4" s="1"/>
  <c r="I98" i="4"/>
  <c r="K98" i="4" s="1"/>
  <c r="I99" i="4"/>
  <c r="K99" i="4" s="1"/>
  <c r="I100" i="4"/>
  <c r="K100" i="4" s="1"/>
  <c r="I101" i="4"/>
  <c r="I102" i="4"/>
  <c r="I103" i="4"/>
  <c r="I104" i="4"/>
  <c r="I105" i="4"/>
  <c r="I106" i="4"/>
  <c r="K106" i="4" s="1"/>
  <c r="I107" i="4"/>
  <c r="K107" i="4" s="1"/>
  <c r="I108" i="4"/>
  <c r="K108" i="4" s="1"/>
  <c r="I109" i="4"/>
  <c r="K109" i="4" s="1"/>
  <c r="I110" i="4"/>
  <c r="K110" i="4" s="1"/>
  <c r="I111" i="4"/>
  <c r="I112" i="4"/>
  <c r="I113" i="4"/>
  <c r="I114" i="4"/>
  <c r="I115" i="4"/>
  <c r="I116" i="4"/>
  <c r="K116" i="4" s="1"/>
  <c r="I117" i="4"/>
  <c r="K117" i="4" s="1"/>
  <c r="I118" i="4"/>
  <c r="K118" i="4" s="1"/>
  <c r="I119" i="4"/>
  <c r="K119" i="4" s="1"/>
  <c r="I120" i="4"/>
  <c r="K120" i="4" s="1"/>
  <c r="I121" i="4"/>
  <c r="I122" i="4"/>
  <c r="I123" i="4"/>
  <c r="I124" i="4"/>
  <c r="I125" i="4"/>
  <c r="I126" i="4"/>
  <c r="K126" i="4" s="1"/>
  <c r="I127" i="4"/>
  <c r="K127" i="4" s="1"/>
  <c r="I128" i="4"/>
  <c r="K128" i="4" s="1"/>
  <c r="I129" i="4"/>
  <c r="K129" i="4" s="1"/>
  <c r="I130" i="4"/>
  <c r="K130" i="4" s="1"/>
  <c r="I131" i="4"/>
  <c r="I132" i="4"/>
  <c r="I133" i="4"/>
  <c r="I134" i="4"/>
  <c r="I135" i="4"/>
  <c r="I136" i="4"/>
  <c r="K136" i="4" s="1"/>
  <c r="L2" i="2"/>
  <c r="K2" i="2"/>
  <c r="J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O2" i="1"/>
  <c r="N2" i="1"/>
  <c r="M2" i="1"/>
  <c r="L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I3" i="1"/>
  <c r="I4" i="1"/>
  <c r="K2" i="1" s="1"/>
  <c r="I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</calcChain>
</file>

<file path=xl/sharedStrings.xml><?xml version="1.0" encoding="utf-8"?>
<sst xmlns="http://schemas.openxmlformats.org/spreadsheetml/2006/main" count="2292" uniqueCount="585">
  <si>
    <t>Order_ID</t>
  </si>
  <si>
    <t>Order_Value</t>
  </si>
  <si>
    <t>Voucher</t>
  </si>
  <si>
    <t>Shipping_Fee</t>
  </si>
  <si>
    <t>Status</t>
  </si>
  <si>
    <t>ORD-1001</t>
  </si>
  <si>
    <t>VIP</t>
  </si>
  <si>
    <t>Hoàn thành</t>
  </si>
  <si>
    <t>ORD-1002</t>
  </si>
  <si>
    <t>NORMAL</t>
  </si>
  <si>
    <t>Đã hủy</t>
  </si>
  <si>
    <t>ORD-1003</t>
  </si>
  <si>
    <t>Đang giao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</si>
  <si>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</si>
  <si>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</si>
  <si>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</si>
  <si>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</si>
  <si>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</si>
  <si>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</si>
  <si>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</si>
  <si>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</si>
  <si>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</si>
  <si>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</si>
  <si>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</si>
  <si>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</si>
  <si>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</si>
  <si>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</si>
  <si>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</si>
  <si>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</si>
  <si>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</si>
  <si>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</si>
  <si>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</si>
  <si>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</si>
  <si>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</si>
  <si>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</si>
  <si>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</si>
  <si>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</si>
  <si>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</si>
  <si>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</si>
  <si>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</si>
  <si>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</si>
  <si>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</si>
  <si>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</si>
  <si>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</si>
  <si>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</si>
  <si>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</si>
  <si>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</si>
  <si>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</si>
  <si>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</si>
  <si>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</si>
  <si>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</si>
  <si>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</si>
  <si>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</si>
  <si>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</si>
  <si>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</si>
  <si>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</si>
  <si>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</si>
  <si>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</si>
  <si>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</si>
  <si>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</si>
  <si>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</si>
  <si>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</si>
  <si>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</si>
  <si>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</si>
  <si>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</si>
  <si>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</si>
  <si>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</si>
  <si>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</si>
  <si>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</si>
  <si>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</si>
  <si>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</si>
  <si>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</si>
  <si>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</si>
  <si>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</si>
  <si>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</si>
  <si>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</si>
  <si>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</si>
  <si>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</si>
  <si>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</si>
  <si>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</si>
  <si>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</si>
  <si>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</si>
  <si>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</si>
  <si>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</si>
  <si>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</si>
  <si>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</si>
  <si>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</si>
  <si>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</si>
  <si>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</si>
  <si>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</si>
  <si>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</si>
  <si>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</si>
  <si>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</si>
  <si>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</si>
  <si>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</si>
  <si>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</si>
  <si>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</si>
  <si>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</si>
  <si>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</si>
  <si>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</si>
  <si>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</si>
  <si>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</si>
  <si>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</si>
  <si>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</si>
  <si>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</si>
  <si>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</si>
  <si>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</si>
  <si>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</si>
  <si>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</si>
  <si>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</si>
  <si>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 xml:space="preserve">Trần Văn A </t>
  </si>
  <si>
    <t xml:space="preserve">Nguyễn Thị B </t>
  </si>
  <si>
    <t xml:space="preserve">Lê Văn C </t>
  </si>
  <si>
    <t xml:space="preserve">Phạm Minh D </t>
  </si>
  <si>
    <t xml:space="preserve">Hoàng Lan E </t>
  </si>
  <si>
    <t xml:space="preserve">Vũ Văn F </t>
  </si>
  <si>
    <t xml:space="preserve">Đặng Thu G </t>
  </si>
  <si>
    <t xml:space="preserve">Bùi Tiến H </t>
  </si>
  <si>
    <t xml:space="preserve">Ngô Bảo I </t>
  </si>
  <si>
    <t xml:space="preserve">Lý Hải J </t>
  </si>
  <si>
    <t xml:space="preserve">Trịnh Kim K </t>
  </si>
  <si>
    <t xml:space="preserve">Mai Văn L </t>
  </si>
  <si>
    <t xml:space="preserve">Đào Thị M </t>
  </si>
  <si>
    <t xml:space="preserve">Đoàn Văn N </t>
  </si>
  <si>
    <t xml:space="preserve">Phan Thanh O </t>
  </si>
  <si>
    <t xml:space="preserve">Lâm Mỹ P </t>
  </si>
  <si>
    <t xml:space="preserve">Hà Văn Q </t>
  </si>
  <si>
    <t xml:space="preserve">Tô Thị R </t>
  </si>
  <si>
    <t xml:space="preserve">Diệp Văn S </t>
  </si>
  <si>
    <t xml:space="preserve">Quách Anh T </t>
  </si>
  <si>
    <t xml:space="preserve">Vương Văn U </t>
  </si>
  <si>
    <t xml:space="preserve">Tạ Thị V </t>
  </si>
  <si>
    <t xml:space="preserve">Lương Văn X </t>
  </si>
  <si>
    <t xml:space="preserve">Thân Văn Y </t>
  </si>
  <si>
    <t xml:space="preserve">Hứa Thị Z </t>
  </si>
  <si>
    <t>Name</t>
  </si>
  <si>
    <t>Phone</t>
  </si>
  <si>
    <t>Discount</t>
  </si>
  <si>
    <t>Status2</t>
  </si>
  <si>
    <t>Total_Revenue</t>
  </si>
  <si>
    <t>Net_Revenue</t>
  </si>
  <si>
    <t>Total_Shipping_Fee</t>
  </si>
  <si>
    <t>Total_Order</t>
  </si>
  <si>
    <t>Success_Total</t>
  </si>
  <si>
    <t>Success_Rate</t>
  </si>
  <si>
    <t>Base_Salary</t>
  </si>
  <si>
    <t>Work_Days</t>
  </si>
  <si>
    <t>Rating</t>
  </si>
  <si>
    <t>A</t>
  </si>
  <si>
    <t>Active</t>
  </si>
  <si>
    <t>B</t>
  </si>
  <si>
    <t>C</t>
  </si>
  <si>
    <t>Mã NV</t>
  </si>
  <si>
    <t>Phòng ban</t>
  </si>
  <si>
    <t xml:space="preserve">NV101 </t>
  </si>
  <si>
    <t xml:space="preserve"> Marketing</t>
  </si>
  <si>
    <t xml:space="preserve">NV102 </t>
  </si>
  <si>
    <t xml:space="preserve"> IT</t>
  </si>
  <si>
    <t xml:space="preserve">NV103 </t>
  </si>
  <si>
    <t xml:space="preserve"> Sales</t>
  </si>
  <si>
    <t xml:space="preserve">NV104 </t>
  </si>
  <si>
    <t xml:space="preserve">NV105 </t>
  </si>
  <si>
    <t xml:space="preserve">NV106 </t>
  </si>
  <si>
    <t xml:space="preserve">NV107 </t>
  </si>
  <si>
    <t xml:space="preserve">NV108 </t>
  </si>
  <si>
    <t xml:space="preserve">NV109 </t>
  </si>
  <si>
    <t xml:space="preserve">NV110 </t>
  </si>
  <si>
    <t xml:space="preserve">NV111 </t>
  </si>
  <si>
    <t xml:space="preserve">NV112 </t>
  </si>
  <si>
    <t xml:space="preserve">NV113 </t>
  </si>
  <si>
    <t xml:space="preserve">NV114 </t>
  </si>
  <si>
    <t xml:space="preserve">NV115 </t>
  </si>
  <si>
    <t xml:space="preserve">NV116 </t>
  </si>
  <si>
    <t xml:space="preserve">NV117 </t>
  </si>
  <si>
    <t xml:space="preserve">NV118 </t>
  </si>
  <si>
    <t xml:space="preserve">NV119 </t>
  </si>
  <si>
    <t xml:space="preserve">NV120 </t>
  </si>
  <si>
    <t xml:space="preserve">NV121 </t>
  </si>
  <si>
    <t xml:space="preserve">NV122 </t>
  </si>
  <si>
    <t xml:space="preserve">NV123 </t>
  </si>
  <si>
    <t xml:space="preserve">NV124 </t>
  </si>
  <si>
    <t xml:space="preserve">NV125 </t>
  </si>
  <si>
    <t xml:space="preserve">NV126 </t>
  </si>
  <si>
    <t xml:space="preserve">NV127 </t>
  </si>
  <si>
    <t xml:space="preserve">NV128 </t>
  </si>
  <si>
    <t xml:space="preserve">NV129 </t>
  </si>
  <si>
    <t xml:space="preserve">NV130 </t>
  </si>
  <si>
    <t xml:space="preserve">NV131 </t>
  </si>
  <si>
    <t xml:space="preserve">NV132 </t>
  </si>
  <si>
    <t xml:space="preserve">NV133 </t>
  </si>
  <si>
    <t xml:space="preserve">NV134 </t>
  </si>
  <si>
    <t xml:space="preserve">NV135 </t>
  </si>
  <si>
    <t xml:space="preserve">NV136 </t>
  </si>
  <si>
    <t xml:space="preserve">NV137 </t>
  </si>
  <si>
    <t xml:space="preserve">NV138 </t>
  </si>
  <si>
    <t xml:space="preserve">NV139 </t>
  </si>
  <si>
    <t xml:space="preserve">NV140 </t>
  </si>
  <si>
    <t xml:space="preserve">NV141 </t>
  </si>
  <si>
    <t xml:space="preserve">NV142 </t>
  </si>
  <si>
    <t xml:space="preserve">NV143 </t>
  </si>
  <si>
    <t xml:space="preserve">NV144 </t>
  </si>
  <si>
    <t xml:space="preserve">NV145 </t>
  </si>
  <si>
    <t xml:space="preserve">NV146 </t>
  </si>
  <si>
    <t xml:space="preserve">NV147 </t>
  </si>
  <si>
    <t xml:space="preserve">NV148 </t>
  </si>
  <si>
    <t xml:space="preserve">NV149 </t>
  </si>
  <si>
    <t xml:space="preserve">NV150 </t>
  </si>
  <si>
    <t xml:space="preserve">NV151 </t>
  </si>
  <si>
    <t xml:space="preserve">NV152 </t>
  </si>
  <si>
    <t xml:space="preserve">NV153 </t>
  </si>
  <si>
    <t xml:space="preserve">NV154 </t>
  </si>
  <si>
    <t xml:space="preserve">NV155 </t>
  </si>
  <si>
    <t xml:space="preserve">NV156 </t>
  </si>
  <si>
    <t xml:space="preserve">NV157 </t>
  </si>
  <si>
    <t xml:space="preserve">NV158 </t>
  </si>
  <si>
    <t xml:space="preserve">NV159 </t>
  </si>
  <si>
    <t xml:space="preserve">NV160 </t>
  </si>
  <si>
    <t xml:space="preserve">NV161 </t>
  </si>
  <si>
    <t xml:space="preserve">NV162 </t>
  </si>
  <si>
    <t xml:space="preserve">NV163 </t>
  </si>
  <si>
    <t xml:space="preserve">NV164 </t>
  </si>
  <si>
    <t xml:space="preserve">NV165 </t>
  </si>
  <si>
    <t xml:space="preserve">NV166 </t>
  </si>
  <si>
    <t xml:space="preserve">NV167 </t>
  </si>
  <si>
    <t xml:space="preserve">NV168 </t>
  </si>
  <si>
    <t xml:space="preserve">NV169 </t>
  </si>
  <si>
    <t xml:space="preserve">NV170 </t>
  </si>
  <si>
    <t xml:space="preserve">NV171 </t>
  </si>
  <si>
    <t xml:space="preserve">NV172 </t>
  </si>
  <si>
    <t xml:space="preserve">NV173 </t>
  </si>
  <si>
    <t xml:space="preserve">NV174 </t>
  </si>
  <si>
    <t xml:space="preserve">NV175 </t>
  </si>
  <si>
    <t xml:space="preserve">NV176 </t>
  </si>
  <si>
    <t xml:space="preserve">NV177 </t>
  </si>
  <si>
    <t xml:space="preserve">NV178 </t>
  </si>
  <si>
    <t xml:space="preserve">NV179 </t>
  </si>
  <si>
    <t xml:space="preserve">NV180 </t>
  </si>
  <si>
    <t xml:space="preserve">NV181 </t>
  </si>
  <si>
    <t xml:space="preserve">NV182 </t>
  </si>
  <si>
    <t xml:space="preserve">NV183 </t>
  </si>
  <si>
    <t xml:space="preserve">NV184 </t>
  </si>
  <si>
    <t xml:space="preserve">NV185 </t>
  </si>
  <si>
    <t xml:space="preserve">NV186 </t>
  </si>
  <si>
    <t xml:space="preserve">NV187 </t>
  </si>
  <si>
    <t xml:space="preserve">NV188 </t>
  </si>
  <si>
    <t xml:space="preserve">NV189 </t>
  </si>
  <si>
    <t xml:space="preserve">NV190 </t>
  </si>
  <si>
    <t xml:space="preserve">NV191 </t>
  </si>
  <si>
    <t xml:space="preserve">NV192 </t>
  </si>
  <si>
    <t xml:space="preserve">NV193 </t>
  </si>
  <si>
    <t xml:space="preserve">NV194 </t>
  </si>
  <si>
    <t xml:space="preserve">NV195 </t>
  </si>
  <si>
    <t xml:space="preserve">NV196 </t>
  </si>
  <si>
    <t xml:space="preserve">NV197 </t>
  </si>
  <si>
    <t xml:space="preserve">NV198 </t>
  </si>
  <si>
    <t xml:space="preserve">NV199 </t>
  </si>
  <si>
    <t xml:space="preserve">NV200 </t>
  </si>
  <si>
    <t xml:space="preserve">NV201 </t>
  </si>
  <si>
    <t xml:space="preserve">NV202 </t>
  </si>
  <si>
    <t xml:space="preserve">NV203 </t>
  </si>
  <si>
    <t xml:space="preserve">NV204 </t>
  </si>
  <si>
    <t xml:space="preserve">NV205 </t>
  </si>
  <si>
    <t xml:space="preserve">NV206 </t>
  </si>
  <si>
    <t xml:space="preserve">NV207 </t>
  </si>
  <si>
    <t xml:space="preserve">NV208 </t>
  </si>
  <si>
    <t xml:space="preserve">NV209 </t>
  </si>
  <si>
    <t xml:space="preserve">NV210 </t>
  </si>
  <si>
    <t xml:space="preserve">NV211 </t>
  </si>
  <si>
    <t xml:space="preserve">NV212 </t>
  </si>
  <si>
    <t xml:space="preserve">NV213 </t>
  </si>
  <si>
    <t xml:space="preserve">NV214 </t>
  </si>
  <si>
    <t xml:space="preserve">NV215 </t>
  </si>
  <si>
    <t xml:space="preserve">NV216 </t>
  </si>
  <si>
    <t xml:space="preserve">NV217 </t>
  </si>
  <si>
    <t xml:space="preserve">NV218 </t>
  </si>
  <si>
    <t xml:space="preserve">NV219 </t>
  </si>
  <si>
    <t xml:space="preserve">NV220 </t>
  </si>
  <si>
    <t xml:space="preserve">NV221 </t>
  </si>
  <si>
    <t xml:space="preserve">NV222 </t>
  </si>
  <si>
    <t xml:space="preserve">NV223 </t>
  </si>
  <si>
    <t xml:space="preserve">NV224 </t>
  </si>
  <si>
    <t xml:space="preserve">NV225 </t>
  </si>
  <si>
    <t xml:space="preserve">NV226 </t>
  </si>
  <si>
    <t xml:space="preserve">NV227 </t>
  </si>
  <si>
    <t xml:space="preserve">NV228 </t>
  </si>
  <si>
    <t xml:space="preserve">NV229 </t>
  </si>
  <si>
    <t xml:space="preserve">NV230 </t>
  </si>
  <si>
    <t xml:space="preserve">NV231 </t>
  </si>
  <si>
    <t xml:space="preserve">NV232 </t>
  </si>
  <si>
    <t xml:space="preserve">NV233 </t>
  </si>
  <si>
    <t xml:space="preserve">NV234 </t>
  </si>
  <si>
    <t xml:space="preserve">NV235 </t>
  </si>
  <si>
    <t xml:space="preserve">NV236 </t>
  </si>
  <si>
    <t xml:space="preserve">NV237 </t>
  </si>
  <si>
    <t xml:space="preserve">NV238 </t>
  </si>
  <si>
    <t xml:space="preserve">NV239 </t>
  </si>
  <si>
    <t xml:space="preserve">NV240 </t>
  </si>
  <si>
    <t xml:space="preserve">NV241 </t>
  </si>
  <si>
    <t xml:space="preserve">NV242 </t>
  </si>
  <si>
    <t xml:space="preserve">NV243 </t>
  </si>
  <si>
    <t xml:space="preserve">NV244 </t>
  </si>
  <si>
    <t xml:space="preserve">NV245 </t>
  </si>
  <si>
    <t xml:space="preserve">NV246 </t>
  </si>
  <si>
    <t xml:space="preserve">NV247 </t>
  </si>
  <si>
    <t xml:space="preserve">NV248 </t>
  </si>
  <si>
    <t xml:space="preserve">NV249 </t>
  </si>
  <si>
    <t xml:space="preserve">NV250 </t>
  </si>
  <si>
    <t xml:space="preserve">NV251 </t>
  </si>
  <si>
    <t xml:space="preserve">NV252 </t>
  </si>
  <si>
    <t xml:space="preserve">NV253 </t>
  </si>
  <si>
    <t xml:space="preserve">NV254 </t>
  </si>
  <si>
    <t xml:space="preserve">NV255 </t>
  </si>
  <si>
    <t xml:space="preserve">NV256 </t>
  </si>
  <si>
    <t xml:space="preserve">NV257 </t>
  </si>
  <si>
    <t xml:space="preserve">NV258 </t>
  </si>
  <si>
    <t xml:space="preserve">NV259 </t>
  </si>
  <si>
    <t xml:space="preserve">NV260 </t>
  </si>
  <si>
    <t xml:space="preserve">NV261 </t>
  </si>
  <si>
    <t xml:space="preserve">NV262 </t>
  </si>
  <si>
    <t xml:space="preserve">NV263 </t>
  </si>
  <si>
    <t xml:space="preserve">NV264 </t>
  </si>
  <si>
    <t xml:space="preserve">NV265 </t>
  </si>
  <si>
    <t xml:space="preserve">NV266 </t>
  </si>
  <si>
    <t xml:space="preserve">NV267 </t>
  </si>
  <si>
    <t xml:space="preserve">NV268 </t>
  </si>
  <si>
    <t xml:space="preserve">NV269 </t>
  </si>
  <si>
    <t xml:space="preserve">NV270 </t>
  </si>
  <si>
    <t xml:space="preserve">NV271 </t>
  </si>
  <si>
    <t xml:space="preserve">NV272 </t>
  </si>
  <si>
    <t xml:space="preserve">NV273 </t>
  </si>
  <si>
    <t xml:space="preserve">NV274 </t>
  </si>
  <si>
    <t>Tiền thưởng</t>
  </si>
  <si>
    <t>Net_Salary</t>
  </si>
  <si>
    <t>Tổng tiền thưởng</t>
  </si>
  <si>
    <t>Tổng số NV</t>
  </si>
  <si>
    <t>Tỷ lệ %</t>
  </si>
  <si>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</si>
  <si>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</si>
  <si>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</si>
  <si>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</si>
  <si>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</si>
  <si>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</si>
  <si>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</si>
  <si>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</si>
  <si>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</si>
  <si>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</si>
  <si>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</si>
  <si>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</si>
  <si>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</si>
  <si>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</si>
  <si>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</si>
  <si>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</si>
  <si>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</si>
  <si>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</si>
  <si>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</si>
  <si>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</si>
  <si>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</si>
  <si>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</si>
  <si>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</si>
  <si>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</si>
  <si>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</si>
  <si>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</si>
  <si>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</si>
  <si>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</si>
  <si>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</si>
  <si>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</si>
  <si>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</si>
  <si>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</si>
  <si>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</si>
  <si>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</si>
  <si>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</si>
  <si>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</si>
  <si>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</si>
  <si>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</si>
  <si>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</si>
  <si>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</si>
  <si>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</si>
  <si>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</si>
  <si>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</si>
  <si>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</si>
  <si>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</si>
  <si>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</si>
  <si>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</si>
  <si>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</si>
  <si>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</si>
  <si>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</si>
  <si>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</si>
  <si>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</si>
  <si>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</si>
  <si>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</si>
  <si>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</si>
  <si>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</si>
  <si>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</si>
  <si>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</si>
  <si>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</si>
  <si>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</si>
  <si>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</si>
  <si>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</si>
  <si>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</si>
  <si>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</si>
  <si>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</si>
  <si>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</si>
  <si>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</si>
  <si>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</si>
  <si>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</si>
  <si>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</si>
  <si>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</si>
  <si>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</si>
  <si>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</si>
  <si>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</si>
  <si>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</si>
  <si>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</si>
  <si>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</si>
  <si>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</si>
  <si>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</si>
  <si>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</si>
  <si>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</si>
  <si>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</si>
  <si>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</si>
  <si>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</si>
  <si>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</si>
  <si>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</si>
  <si>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</si>
  <si>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</si>
  <si>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</si>
  <si>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</si>
  <si>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</si>
  <si>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</si>
  <si>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</si>
  <si>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</si>
  <si>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</si>
  <si>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</si>
  <si>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</si>
  <si>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</si>
  <si>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</si>
  <si>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</si>
  <si>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</si>
  <si>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</si>
  <si>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</si>
  <si>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</si>
  <si>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</si>
  <si>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</si>
  <si>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</si>
  <si>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</si>
  <si>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</si>
  <si>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</si>
  <si>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</si>
  <si>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</si>
  <si>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</si>
  <si>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</si>
  <si>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</si>
  <si>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</si>
  <si>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</si>
  <si>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</si>
  <si>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</si>
  <si>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</si>
  <si>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</si>
  <si>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</si>
  <si>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</si>
  <si>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</si>
  <si>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</si>
  <si>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</si>
  <si>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</si>
  <si>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</si>
  <si>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</si>
  <si>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</si>
  <si>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</si>
  <si>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</si>
  <si>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</si>
  <si>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</si>
  <si>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</si>
  <si>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</si>
  <si>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</si>
  <si>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</si>
  <si>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</si>
  <si>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</si>
  <si>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</si>
  <si>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</si>
  <si>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</si>
  <si>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</si>
  <si>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</si>
  <si>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</si>
  <si>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</si>
  <si>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</si>
  <si>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</si>
  <si>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</si>
  <si>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</si>
  <si>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</si>
  <si>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</si>
  <si>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</si>
  <si>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</si>
  <si>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</si>
  <si>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</si>
  <si>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</si>
  <si>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</si>
  <si>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</si>
  <si>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</si>
  <si>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</si>
  <si>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</si>
  <si>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</si>
  <si>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</si>
  <si>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</si>
  <si>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</si>
  <si>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</si>
  <si>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</si>
  <si>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</si>
  <si>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</si>
  <si>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</si>
  <si>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</si>
  <si>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</si>
  <si>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</si>
  <si>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</si>
  <si>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</si>
  <si>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</si>
  <si>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</si>
  <si>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</si>
  <si>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7/29/2023</t>
  </si>
  <si>
    <t>ORD-230406</t>
  </si>
  <si>
    <t>7/30/2023</t>
  </si>
  <si>
    <t>ORD-230407</t>
  </si>
  <si>
    <t>7/31/2023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</si>
  <si>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</si>
  <si>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</si>
  <si>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</si>
  <si>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</si>
  <si>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</si>
  <si>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</si>
  <si>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</si>
  <si>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</si>
  <si>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</si>
  <si>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</si>
  <si>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</si>
  <si>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</si>
  <si>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</si>
  <si>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</si>
  <si>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</si>
  <si>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</si>
  <si>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</si>
  <si>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</si>
  <si>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</si>
  <si>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</si>
  <si>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</si>
  <si>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</si>
  <si>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</si>
  <si>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</si>
  <si>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</si>
  <si>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</si>
  <si>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</si>
  <si>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</si>
  <si>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</si>
  <si>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</si>
  <si>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</si>
  <si>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</si>
  <si>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</si>
  <si>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</si>
  <si>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</si>
  <si>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</si>
  <si>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</si>
  <si>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</si>
  <si>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</si>
  <si>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</si>
  <si>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</si>
  <si>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</si>
  <si>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</si>
  <si>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</si>
  <si>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</si>
  <si>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</si>
  <si>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</si>
  <si>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</si>
  <si>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</si>
  <si>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Laptop Dell Xps 13</t>
  </si>
  <si>
    <t>Chuột Logitech Mx Master</t>
  </si>
  <si>
    <t>Bàn Phím Cơ Keychron</t>
  </si>
  <si>
    <t>Màn Hình Lg 27 Inch</t>
  </si>
  <si>
    <t>Ổ Cứng Ssd Samsung 1Tb</t>
  </si>
  <si>
    <t>Tai Nghe Sony Wh-1000Xm5</t>
  </si>
  <si>
    <t>Bàn Di Chuột Steelseries</t>
  </si>
  <si>
    <t>Giá vốn</t>
  </si>
  <si>
    <t>Doanh thu</t>
  </si>
  <si>
    <t>Lợi nhuận gộp</t>
  </si>
  <si>
    <t>Tỷ suất lợi nhuận</t>
  </si>
  <si>
    <t>Chưa xác định</t>
  </si>
  <si>
    <t>Doanh thu toàn công ty</t>
  </si>
  <si>
    <t>Số lượng sản phẩm</t>
  </si>
  <si>
    <t>Số lượng đơn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</si>
</sst>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3"/>
      <color rgb="FF1A1C1E"/>
      <name val="Arial"/>
      <family val="2"/>
    </font>
    <font>
      <sz val="13"/>
      <color rgb="FF1A1C1E"/>
      <name val="Arial"/>
      <family val="2"/>
    </font>
    <font>
      <sz val="12"/>
      <color rgb="FF000000"/>
      <name val="Aptos Narrow"/>
    </font>
    <font>
      <b/>
      <sz val="13"/>
      <color rgb="FF1A1C1E"/>
      <name val="Arial (Body)"/>
    </font>
    <font>
      <sz val="13"/>
      <color rgb="FF000000"/>
      <name val="Arial (Body)"/>
    </font>
    <font>
      <sz val="13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7" fillId="0" borderId="0" xfId="0" applyFont="1"/>
    <xf numFmtId="0" fontId="6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A1C1E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3D1192-8BAD-8E48-A4A0-17C9CAC9CD6F}" name="Table1" displayName="Table1" ref="A1:I101" totalsRowShown="0" headerRowDxfId="47" dataDxfId="46">
  <tableColumns count="9">
    <tableColumn id="1" xr3:uid="{AE33B346-D0BE-8643-BD54-0BB1672E301B}" name="Order_ID" dataDxfId="45"/>
    <tableColumn id="2" xr3:uid="{EA8C1CAB-F56B-1E4B-9FBA-2169AA73DE4A}" name="Name" dataDxfId="44"/>
    <tableColumn id="7" xr3:uid="{B005B77F-7024-1E48-A8F6-93CA9D7E1797}" name="Phone" dataDxfId="43"/>
    <tableColumn id="3" xr3:uid="{67DE1AA2-EFC7-2F45-80AB-6D93A9C4E28F}" name="Order_Value" dataDxfId="42"/>
    <tableColumn id="4" xr3:uid="{E7903DB4-B336-354D-9B20-171C77A0B021}" name="Voucher" dataDxfId="41"/>
    <tableColumn id="5" xr3:uid="{4F501E2A-1877-9347-80C3-AD9D345B364E}" name="Shipping_Fee" dataDxfId="40"/>
    <tableColumn id="8" xr3:uid="{3DED6E2D-4331-EE46-92F1-60A106371929}" name="Discount" dataDxfId="37">
      <calculatedColumnFormula>IF(E2="VIP",D2*0.1,IF(E2="NORMAL",D2*0.05,0))</calculatedColumnFormula>
    </tableColumn>
    <tableColumn id="6" xr3:uid="{5A44FD27-EC8B-E140-A025-CAEC6548025B}" name="Status2" dataDxfId="39"/>
    <tableColumn id="9" xr3:uid="{81AE34A7-17FF-5C43-81A4-9C3DE308D62A}" name="Net_Revenue" dataDxfId="38">
      <calculatedColumnFormula>D2-G2-F2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BA2DF-0B84-324A-9F87-05DF6CF800BC}" name="Table2" displayName="Table2" ref="A1:H175" totalsRowShown="0" headerRowDxfId="36" dataDxfId="35">
  <autoFilter ref="A1:H175" xr:uid="{0DABA2DF-0B84-324A-9F87-05DF6CF800BC}"/>
  <tableColumns count="8">
    <tableColumn id="1" xr3:uid="{92994AAA-17A0-F24D-917E-CD63E221D527}" name="Mã NV" dataDxfId="34"/>
    <tableColumn id="6" xr3:uid="{5FC46013-5281-854D-8704-BDE8F039BE92}" name="Phòng ban" dataDxfId="33"/>
    <tableColumn id="2" xr3:uid="{A5433589-9903-A141-9E84-E57BA283F1B3}" name="Base_Salary" dataDxfId="32"/>
    <tableColumn id="3" xr3:uid="{0D8C43DB-6921-AE41-910F-DAB3F41AF059}" name="Work_Days" dataDxfId="31"/>
    <tableColumn id="4" xr3:uid="{751D99B6-74CE-D243-B5CA-3AB068C54A6D}" name="Rating" dataDxfId="30"/>
    <tableColumn id="5" xr3:uid="{FB4E4F6D-F124-014F-88B6-72FD11FF0CC6}" name="Status" dataDxfId="29"/>
    <tableColumn id="7" xr3:uid="{7BF3A18B-955C-3A47-822F-C3129F7CF45E}" name="Tiền thưởng" dataDxfId="28">
      <calculatedColumnFormula>IF(E2="A",C2*0.1,IF(E2="B",C2*0.05,0))</calculatedColumnFormula>
    </tableColumn>
    <tableColumn id="8" xr3:uid="{62C8A03C-7DE4-6841-A592-1E6BFA8533B5}" name="Net_Salary" dataDxfId="27">
      <calculatedColumnFormula>(C2/22)*D2+G2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407E64-9AC4-384D-9576-B305C7D85B79}" name="Table3" displayName="Table3" ref="A1:L136" totalsRowShown="0" headerRowDxfId="17" dataDxfId="18">
  <autoFilter ref="A1:L136" xr:uid="{DB407E64-9AC4-384D-9576-B305C7D85B79}"/>
  <tableColumns count="12">
    <tableColumn id="1" xr3:uid="{C3ED5530-9038-C74D-8297-A6D8CB3173FA}" name="Mã đơn hàng" dataDxfId="26"/>
    <tableColumn id="2" xr3:uid="{BC8EBB69-774F-6A45-9E0D-060D8523CA06}" name="Ngày bán" dataDxfId="25"/>
    <tableColumn id="3" xr3:uid="{22504798-FFCA-ED46-9465-7B63E4F746EB}" name="Nhân viên bán hàng" dataDxfId="24"/>
    <tableColumn id="4" xr3:uid="{232025E2-D248-674E-92C9-C61E40A912BF}" name="Khu vực" dataDxfId="23"/>
    <tableColumn id="5" xr3:uid="{D4EA8899-1A61-2E4E-9B47-5893DBE59AAB}" name="Tên sản phẩm" dataDxfId="22"/>
    <tableColumn id="6" xr3:uid="{50A2AB16-07F0-4142-A88B-C66279B3A600}" name="Số lượng" dataDxfId="21"/>
    <tableColumn id="7" xr3:uid="{C772FAA0-7EE9-B547-BA56-9D94F1A05D71}" name="Đơn giá" dataDxfId="20"/>
    <tableColumn id="8" xr3:uid="{0BA78803-ACA2-C64B-9FAE-983A3B4C82A4}" name="Ghi chú" dataDxfId="19"/>
    <tableColumn id="9" xr3:uid="{D9CD0048-B5DC-B947-ADA8-EEFCAB9FF099}" name="Giá vốn" dataDxfId="16">
      <calculatedColumnFormula>G2*70%</calculatedColumnFormula>
    </tableColumn>
    <tableColumn id="10" xr3:uid="{4EE2B108-BA56-5245-8D95-F020C6ECEBCA}" name="Doanh thu" dataDxfId="15">
      <calculatedColumnFormula>F2*G2</calculatedColumnFormula>
    </tableColumn>
    <tableColumn id="11" xr3:uid="{24B79286-8E94-2244-8EAA-5CE76F27B8CE}" name="Lợi nhuận gộp" dataDxfId="14">
      <calculatedColumnFormula>J2-(F2*I2)</calculatedColumnFormula>
    </tableColumn>
    <tableColumn id="12" xr3:uid="{CB72B82B-E368-5C49-B200-2E1B919803B7}" name="Tỷ suất lợi nhuận" dataDxfId="13">
      <calculatedColumnFormula>K2/J2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F3A852C-8FBE-0945-B6D4-79419DBCD6C3}" name="Table4" displayName="Table4" ref="A1:I127" totalsRowShown="0" headerRowDxfId="3" dataDxfId="4">
  <autoFilter ref="A1:I127" xr:uid="{BF3A852C-8FBE-0945-B6D4-79419DBCD6C3}"/>
  <tableColumns count="9">
    <tableColumn id="1" xr3:uid="{C60E30B4-0AE1-234B-9B3E-E4F43481CD8E}" name="Mã đơn hàng" dataDxfId="12"/>
    <tableColumn id="2" xr3:uid="{4884564C-71C8-CE46-8692-E3F269F2D4EE}" name="Ngày bán" dataDxfId="11"/>
    <tableColumn id="3" xr3:uid="{64A7F2D5-DFE9-6E4D-A40F-42CD8CF565FF}" name="Nhân viên bán hàng" dataDxfId="10"/>
    <tableColumn id="4" xr3:uid="{990C6178-C8FE-A745-A125-FDE4B9428322}" name="Khu vực" dataDxfId="9"/>
    <tableColumn id="5" xr3:uid="{6C42DFB3-5A0B-4E49-A21C-AE62E6DA0FEF}" name="Tên sản phẩm" dataDxfId="8"/>
    <tableColumn id="6" xr3:uid="{DCA86346-B0E2-0E49-B265-679BD08C0527}" name="Số lượng" dataDxfId="7"/>
    <tableColumn id="7" xr3:uid="{39E17D37-10F8-0748-8A0F-0B903337EAF7}" name="Đơn giá" dataDxfId="6"/>
    <tableColumn id="8" xr3:uid="{EF343E4D-74FA-FA43-BC15-077C519DCF9D}" name="Ghi chú" dataDxfId="5"/>
    <tableColumn id="9" xr3:uid="{E5995E53-CA11-D04B-A8CF-B135186D24E8}" name="Doanh thu" dataDxfId="0">
      <calculatedColumnFormula>F2*G2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22"/>
  <sheetViews>
    <sheetView zoomScale="174" zoomScaleNormal="174" workbookViewId="0">
      <selection activeCell="N2" sqref="N2"/>
    </sheetView>
  </sheetViews>
  <sheetFormatPr baseColWidth="10" defaultColWidth="12.6640625" defaultRowHeight="15.75" customHeight="1" x14ac:dyDescent="0.15"/>
  <cols>
    <col min="1" max="1" width="13.5" bestFit="1" customWidth="1"/>
    <col min="2" max="2" width="18" bestFit="1" customWidth="1"/>
    <col min="3" max="3" width="13.33203125" bestFit="1" customWidth="1"/>
    <col min="5" max="5" width="17.33203125" bestFit="1" customWidth="1"/>
    <col min="6" max="6" width="11.33203125" bestFit="1" customWidth="1"/>
    <col min="12" max="12" width="17" bestFit="1" customWidth="1"/>
  </cols>
  <sheetData>
    <row r="1" spans="1:15" ht="15.75" customHeight="1" x14ac:dyDescent="0.15">
      <c r="A1" s="1" t="s">
        <v>0</v>
      </c>
      <c r="B1" s="1" t="s">
        <v>135</v>
      </c>
      <c r="C1" s="1" t="s">
        <v>136</v>
      </c>
      <c r="D1" s="1" t="s">
        <v>1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140</v>
      </c>
      <c r="K1" s="3" t="s">
        <v>139</v>
      </c>
      <c r="L1" s="3" t="s">
        <v>141</v>
      </c>
      <c r="M1" s="3" t="s">
        <v>142</v>
      </c>
      <c r="N1" s="3" t="s">
        <v>143</v>
      </c>
      <c r="O1" s="3" t="s">
        <v>144</v>
      </c>
    </row>
    <row r="2" spans="1:15" ht="15.75" customHeight="1" x14ac:dyDescent="0.15">
      <c r="A2" s="2" t="s">
        <v>5</v>
      </c>
      <c r="B2" s="2" t="s">
        <v>110</v>
      </c>
      <c r="C2" s="2">
        <v>988776655</v>
      </c>
      <c r="D2" s="2">
        <v>500000</v>
      </c>
      <c r="E2" s="2" t="s">
        <v>6</v>
      </c>
      <c r="F2" s="2">
        <v>30000</v>
      </c>
      <c r="G2" s="2">
        <f t="shared" ref="G2:G33" si="0">IF(E2="VIP",D2*0.1,IF(E2="NORMAL",D2*0.05,0))</f>
        <v>50000</v>
      </c>
      <c r="H2" s="2" t="s">
        <v>7</v>
      </c>
      <c r="I2" s="2">
        <f t="shared" ref="I2:I33" si="1">D2-G2-F2</f>
        <v>420000</v>
      </c>
      <c r="K2">
        <f>SUMIF(Table1[Status2],"Hoàn thành",Table1[Net_Revenue])</f>
        <v>68910000</v>
      </c>
      <c r="L2">
        <f>SUM(Table1[Shipping_Fee])</f>
        <v>2250000</v>
      </c>
      <c r="M2">
        <f>COUNTA(Table1[Order_Value])</f>
        <v>100</v>
      </c>
      <c r="N2">
        <f>COUNTIF(Table1[Status2],"Hoàn thành")</f>
        <v>58</v>
      </c>
      <c r="O2">
        <f>N2/M2*100</f>
        <v>57.999999999999993</v>
      </c>
    </row>
    <row r="3" spans="1:15" ht="15.75" customHeight="1" x14ac:dyDescent="0.15">
      <c r="A3" s="2" t="s">
        <v>14</v>
      </c>
      <c r="B3" s="2" t="s">
        <v>114</v>
      </c>
      <c r="C3" s="2">
        <v>944889900</v>
      </c>
      <c r="D3" s="2">
        <v>1500000</v>
      </c>
      <c r="E3" s="2" t="s">
        <v>6</v>
      </c>
      <c r="F3" s="2">
        <v>30000</v>
      </c>
      <c r="G3" s="2">
        <f t="shared" si="0"/>
        <v>150000</v>
      </c>
      <c r="H3" s="2" t="s">
        <v>12</v>
      </c>
      <c r="I3" s="2">
        <f t="shared" si="1"/>
        <v>1320000</v>
      </c>
    </row>
    <row r="4" spans="1:15" ht="15.75" customHeight="1" x14ac:dyDescent="0.15">
      <c r="A4" s="2" t="s">
        <v>19</v>
      </c>
      <c r="B4" s="2" t="s">
        <v>119</v>
      </c>
      <c r="C4" s="2">
        <v>988009911</v>
      </c>
      <c r="D4" s="2">
        <v>500000</v>
      </c>
      <c r="F4" s="2">
        <v>15000</v>
      </c>
      <c r="G4" s="2">
        <f t="shared" si="0"/>
        <v>0</v>
      </c>
      <c r="H4" s="2" t="s">
        <v>7</v>
      </c>
      <c r="I4" s="2">
        <f t="shared" si="1"/>
        <v>485000</v>
      </c>
    </row>
    <row r="5" spans="1:15" ht="15.75" customHeight="1" x14ac:dyDescent="0.15">
      <c r="A5" s="2" t="s">
        <v>24</v>
      </c>
      <c r="B5" s="2" t="s">
        <v>124</v>
      </c>
      <c r="C5" s="2">
        <v>933445566</v>
      </c>
      <c r="D5" s="2">
        <v>2000000</v>
      </c>
      <c r="E5" s="2" t="s">
        <v>9</v>
      </c>
      <c r="F5" s="2">
        <v>30000</v>
      </c>
      <c r="G5" s="2">
        <f t="shared" si="0"/>
        <v>100000</v>
      </c>
      <c r="H5" s="2" t="s">
        <v>7</v>
      </c>
      <c r="I5" s="2">
        <f t="shared" si="1"/>
        <v>1870000</v>
      </c>
    </row>
    <row r="6" spans="1:15" ht="15.75" customHeight="1" x14ac:dyDescent="0.15">
      <c r="A6" s="2" t="s">
        <v>29</v>
      </c>
      <c r="B6" s="2" t="s">
        <v>129</v>
      </c>
      <c r="C6" s="2">
        <v>977665544</v>
      </c>
      <c r="D6" s="2">
        <v>1500000</v>
      </c>
      <c r="F6" s="2">
        <v>15000</v>
      </c>
      <c r="G6" s="2">
        <f t="shared" si="0"/>
        <v>0</v>
      </c>
      <c r="H6" s="2" t="s">
        <v>12</v>
      </c>
      <c r="I6" s="2">
        <f t="shared" si="1"/>
        <v>1485000</v>
      </c>
    </row>
    <row r="7" spans="1:15" ht="15.75" customHeight="1" x14ac:dyDescent="0.15">
      <c r="A7" s="2" t="s">
        <v>34</v>
      </c>
      <c r="B7" s="2" t="s">
        <v>134</v>
      </c>
      <c r="C7" s="2">
        <v>922445566</v>
      </c>
      <c r="D7" s="2">
        <v>500000</v>
      </c>
      <c r="E7" s="2" t="s">
        <v>6</v>
      </c>
      <c r="F7" s="2">
        <v>30000</v>
      </c>
      <c r="G7" s="2">
        <f t="shared" si="0"/>
        <v>50000</v>
      </c>
      <c r="H7" s="2" t="s">
        <v>7</v>
      </c>
      <c r="I7" s="2">
        <f t="shared" si="1"/>
        <v>420000</v>
      </c>
    </row>
    <row r="8" spans="1:15" ht="15.75" customHeight="1" x14ac:dyDescent="0.15">
      <c r="A8" s="2" t="s">
        <v>39</v>
      </c>
      <c r="B8" s="2" t="s">
        <v>114</v>
      </c>
      <c r="C8" s="2">
        <v>944889900</v>
      </c>
      <c r="D8" s="2">
        <v>2000000</v>
      </c>
      <c r="E8" s="2" t="s">
        <v>6</v>
      </c>
      <c r="F8" s="2">
        <v>15000</v>
      </c>
      <c r="G8" s="2">
        <f t="shared" si="0"/>
        <v>200000</v>
      </c>
      <c r="H8" s="2" t="s">
        <v>7</v>
      </c>
      <c r="I8" s="2">
        <f t="shared" si="1"/>
        <v>1785000</v>
      </c>
    </row>
    <row r="9" spans="1:15" ht="15.75" customHeight="1" x14ac:dyDescent="0.15">
      <c r="A9" s="2" t="s">
        <v>44</v>
      </c>
      <c r="B9" s="2" t="s">
        <v>119</v>
      </c>
      <c r="C9" s="2">
        <v>988009911</v>
      </c>
      <c r="D9" s="2">
        <v>1500000</v>
      </c>
      <c r="F9" s="2">
        <v>30000</v>
      </c>
      <c r="G9" s="2">
        <f t="shared" si="0"/>
        <v>0</v>
      </c>
      <c r="H9" s="2" t="s">
        <v>7</v>
      </c>
      <c r="I9" s="2">
        <f t="shared" si="1"/>
        <v>1470000</v>
      </c>
    </row>
    <row r="10" spans="1:15" ht="15.75" customHeight="1" x14ac:dyDescent="0.15">
      <c r="A10" s="2" t="s">
        <v>49</v>
      </c>
      <c r="B10" s="2" t="s">
        <v>124</v>
      </c>
      <c r="C10" s="2">
        <v>933445566</v>
      </c>
      <c r="D10" s="2">
        <v>500000</v>
      </c>
      <c r="E10" s="2" t="s">
        <v>9</v>
      </c>
      <c r="F10" s="2">
        <v>15000</v>
      </c>
      <c r="G10" s="2">
        <f t="shared" si="0"/>
        <v>25000</v>
      </c>
      <c r="H10" s="2" t="s">
        <v>7</v>
      </c>
      <c r="I10" s="2">
        <f t="shared" si="1"/>
        <v>460000</v>
      </c>
    </row>
    <row r="11" spans="1:15" ht="15.75" customHeight="1" x14ac:dyDescent="0.15">
      <c r="A11" s="2" t="s">
        <v>54</v>
      </c>
      <c r="B11" s="2" t="s">
        <v>129</v>
      </c>
      <c r="C11" s="2">
        <v>977665544</v>
      </c>
      <c r="D11" s="2">
        <v>2000000</v>
      </c>
      <c r="F11" s="2">
        <v>30000</v>
      </c>
      <c r="G11" s="2">
        <f t="shared" si="0"/>
        <v>0</v>
      </c>
      <c r="H11" s="2" t="s">
        <v>7</v>
      </c>
      <c r="I11" s="2">
        <f t="shared" si="1"/>
        <v>1970000</v>
      </c>
    </row>
    <row r="12" spans="1:15" ht="15.75" customHeight="1" x14ac:dyDescent="0.15">
      <c r="A12" s="2" t="s">
        <v>59</v>
      </c>
      <c r="B12" s="2" t="s">
        <v>134</v>
      </c>
      <c r="C12" s="2">
        <v>922445566</v>
      </c>
      <c r="D12" s="2">
        <v>1500000</v>
      </c>
      <c r="E12" s="2" t="s">
        <v>6</v>
      </c>
      <c r="F12" s="2">
        <v>15000</v>
      </c>
      <c r="G12" s="2">
        <f t="shared" si="0"/>
        <v>150000</v>
      </c>
      <c r="H12" s="2" t="s">
        <v>7</v>
      </c>
      <c r="I12" s="2">
        <f t="shared" si="1"/>
        <v>1335000</v>
      </c>
    </row>
    <row r="13" spans="1:15" ht="15.75" customHeight="1" x14ac:dyDescent="0.15">
      <c r="A13" s="2" t="s">
        <v>64</v>
      </c>
      <c r="B13" s="2" t="s">
        <v>114</v>
      </c>
      <c r="C13" s="2">
        <v>944889900</v>
      </c>
      <c r="D13" s="2">
        <v>500000</v>
      </c>
      <c r="E13" s="2" t="s">
        <v>6</v>
      </c>
      <c r="F13" s="2">
        <v>30000</v>
      </c>
      <c r="G13" s="2">
        <f t="shared" si="0"/>
        <v>50000</v>
      </c>
      <c r="H13" s="2" t="s">
        <v>7</v>
      </c>
      <c r="I13" s="2">
        <f t="shared" si="1"/>
        <v>420000</v>
      </c>
    </row>
    <row r="14" spans="1:15" ht="15.75" customHeight="1" x14ac:dyDescent="0.15">
      <c r="A14" s="2" t="s">
        <v>69</v>
      </c>
      <c r="B14" s="2" t="s">
        <v>119</v>
      </c>
      <c r="C14" s="2">
        <v>988009911</v>
      </c>
      <c r="D14" s="2">
        <v>2000000</v>
      </c>
      <c r="F14" s="2">
        <v>15000</v>
      </c>
      <c r="G14" s="2">
        <f t="shared" si="0"/>
        <v>0</v>
      </c>
      <c r="H14" s="2" t="s">
        <v>7</v>
      </c>
      <c r="I14" s="2">
        <f t="shared" si="1"/>
        <v>1985000</v>
      </c>
    </row>
    <row r="15" spans="1:15" ht="15.75" customHeight="1" x14ac:dyDescent="0.15">
      <c r="A15" s="2" t="s">
        <v>74</v>
      </c>
      <c r="B15" s="2" t="s">
        <v>124</v>
      </c>
      <c r="C15" s="2">
        <v>933445566</v>
      </c>
      <c r="D15" s="2">
        <v>1500000</v>
      </c>
      <c r="E15" s="2" t="s">
        <v>9</v>
      </c>
      <c r="F15" s="2">
        <v>30000</v>
      </c>
      <c r="G15" s="2">
        <f t="shared" si="0"/>
        <v>75000</v>
      </c>
      <c r="H15" s="2" t="s">
        <v>7</v>
      </c>
      <c r="I15" s="2">
        <f t="shared" si="1"/>
        <v>1395000</v>
      </c>
    </row>
    <row r="16" spans="1:15" ht="15.75" customHeight="1" x14ac:dyDescent="0.15">
      <c r="A16" s="2" t="s">
        <v>79</v>
      </c>
      <c r="B16" s="2" t="s">
        <v>129</v>
      </c>
      <c r="C16" s="2">
        <v>977665544</v>
      </c>
      <c r="D16" s="2">
        <v>500000</v>
      </c>
      <c r="F16" s="2">
        <v>15000</v>
      </c>
      <c r="G16" s="2">
        <f t="shared" si="0"/>
        <v>0</v>
      </c>
      <c r="H16" s="2" t="s">
        <v>7</v>
      </c>
      <c r="I16" s="2">
        <f t="shared" si="1"/>
        <v>485000</v>
      </c>
    </row>
    <row r="17" spans="1:9" ht="15.75" customHeight="1" x14ac:dyDescent="0.15">
      <c r="A17" s="2" t="s">
        <v>84</v>
      </c>
      <c r="B17" s="2" t="s">
        <v>134</v>
      </c>
      <c r="C17" s="2">
        <v>922445566</v>
      </c>
      <c r="D17" s="2">
        <v>2000000</v>
      </c>
      <c r="E17" s="2" t="s">
        <v>6</v>
      </c>
      <c r="F17" s="2">
        <v>30000</v>
      </c>
      <c r="G17" s="2">
        <f t="shared" si="0"/>
        <v>200000</v>
      </c>
      <c r="H17" s="2" t="s">
        <v>7</v>
      </c>
      <c r="I17" s="2">
        <f t="shared" si="1"/>
        <v>1770000</v>
      </c>
    </row>
    <row r="18" spans="1:9" ht="15.75" customHeight="1" x14ac:dyDescent="0.15">
      <c r="A18" s="2" t="s">
        <v>89</v>
      </c>
      <c r="B18" s="2" t="s">
        <v>114</v>
      </c>
      <c r="C18" s="2">
        <v>944889900</v>
      </c>
      <c r="D18" s="2">
        <v>1500000</v>
      </c>
      <c r="E18" s="2" t="s">
        <v>6</v>
      </c>
      <c r="F18" s="2">
        <v>15000</v>
      </c>
      <c r="G18" s="2">
        <f t="shared" si="0"/>
        <v>150000</v>
      </c>
      <c r="H18" s="2" t="s">
        <v>7</v>
      </c>
      <c r="I18" s="2">
        <f t="shared" si="1"/>
        <v>1335000</v>
      </c>
    </row>
    <row r="19" spans="1:9" ht="15.75" customHeight="1" x14ac:dyDescent="0.15">
      <c r="A19" s="2" t="s">
        <v>94</v>
      </c>
      <c r="B19" s="2" t="s">
        <v>119</v>
      </c>
      <c r="C19" s="2">
        <v>988009911</v>
      </c>
      <c r="D19" s="2">
        <v>500000</v>
      </c>
      <c r="F19" s="2">
        <v>30000</v>
      </c>
      <c r="G19" s="2">
        <f t="shared" si="0"/>
        <v>0</v>
      </c>
      <c r="H19" s="2" t="s">
        <v>7</v>
      </c>
      <c r="I19" s="2">
        <f t="shared" si="1"/>
        <v>470000</v>
      </c>
    </row>
    <row r="20" spans="1:9" ht="15.75" customHeight="1" x14ac:dyDescent="0.15">
      <c r="A20" s="2" t="s">
        <v>99</v>
      </c>
      <c r="B20" s="2" t="s">
        <v>124</v>
      </c>
      <c r="C20" s="2">
        <v>933445566</v>
      </c>
      <c r="D20" s="2">
        <v>2000000</v>
      </c>
      <c r="E20" s="2" t="s">
        <v>9</v>
      </c>
      <c r="F20" s="2">
        <v>15000</v>
      </c>
      <c r="G20" s="2">
        <f t="shared" si="0"/>
        <v>100000</v>
      </c>
      <c r="H20" s="2" t="s">
        <v>7</v>
      </c>
      <c r="I20" s="2">
        <f t="shared" si="1"/>
        <v>1885000</v>
      </c>
    </row>
    <row r="21" spans="1:9" ht="15.75" customHeight="1" x14ac:dyDescent="0.15">
      <c r="A21" s="2" t="s">
        <v>104</v>
      </c>
      <c r="B21" s="2" t="s">
        <v>129</v>
      </c>
      <c r="C21" s="2">
        <v>977665544</v>
      </c>
      <c r="D21" s="2">
        <v>1500000</v>
      </c>
      <c r="F21" s="2">
        <v>30000</v>
      </c>
      <c r="G21" s="2">
        <f t="shared" si="0"/>
        <v>0</v>
      </c>
      <c r="H21" s="2" t="s">
        <v>7</v>
      </c>
      <c r="I21" s="2">
        <f t="shared" si="1"/>
        <v>1470000</v>
      </c>
    </row>
    <row r="22" spans="1:9" ht="15.75" customHeight="1" x14ac:dyDescent="0.15">
      <c r="A22" s="2" t="s">
        <v>109</v>
      </c>
      <c r="B22" s="2" t="s">
        <v>134</v>
      </c>
      <c r="C22" s="2">
        <v>922445566</v>
      </c>
      <c r="D22" s="2">
        <v>500000</v>
      </c>
      <c r="E22" s="2" t="s">
        <v>6</v>
      </c>
      <c r="F22" s="2">
        <v>15000</v>
      </c>
      <c r="G22" s="2">
        <f t="shared" si="0"/>
        <v>50000</v>
      </c>
      <c r="H22" s="2" t="s">
        <v>7</v>
      </c>
      <c r="I22" s="2">
        <f t="shared" si="1"/>
        <v>435000</v>
      </c>
    </row>
    <row r="23" spans="1:9" ht="15.75" customHeight="1" x14ac:dyDescent="0.15">
      <c r="A23" s="2" t="s">
        <v>8</v>
      </c>
      <c r="B23" s="2" t="s">
        <v>111</v>
      </c>
      <c r="C23" s="2">
        <v>912345678</v>
      </c>
      <c r="D23" s="2">
        <v>1500000</v>
      </c>
      <c r="E23" s="2" t="s">
        <v>9</v>
      </c>
      <c r="F23" s="2">
        <v>15000</v>
      </c>
      <c r="G23" s="2">
        <f t="shared" si="0"/>
        <v>75000</v>
      </c>
      <c r="H23" s="2" t="s">
        <v>10</v>
      </c>
      <c r="I23" s="2">
        <f t="shared" si="1"/>
        <v>1410000</v>
      </c>
    </row>
    <row r="24" spans="1:9" ht="15.75" customHeight="1" x14ac:dyDescent="0.15">
      <c r="A24" s="2" t="s">
        <v>11</v>
      </c>
      <c r="B24" s="2" t="s">
        <v>112</v>
      </c>
      <c r="C24" s="2">
        <v>905554433</v>
      </c>
      <c r="D24" s="2">
        <v>2000000</v>
      </c>
      <c r="F24" s="2">
        <v>30000</v>
      </c>
      <c r="G24" s="2">
        <f t="shared" si="0"/>
        <v>0</v>
      </c>
      <c r="H24" s="2" t="s">
        <v>12</v>
      </c>
      <c r="I24" s="2">
        <f t="shared" si="1"/>
        <v>1970000</v>
      </c>
    </row>
    <row r="25" spans="1:9" ht="15.75" customHeight="1" x14ac:dyDescent="0.15">
      <c r="A25" s="2" t="s">
        <v>13</v>
      </c>
      <c r="B25" s="2" t="s">
        <v>113</v>
      </c>
      <c r="C25" s="2">
        <v>977112233</v>
      </c>
      <c r="D25" s="2">
        <v>500000</v>
      </c>
      <c r="E25" s="2" t="s">
        <v>9</v>
      </c>
      <c r="F25" s="2">
        <v>15000</v>
      </c>
      <c r="G25" s="2">
        <f t="shared" si="0"/>
        <v>25000</v>
      </c>
      <c r="H25" s="2" t="s">
        <v>7</v>
      </c>
      <c r="I25" s="2">
        <f t="shared" si="1"/>
        <v>460000</v>
      </c>
    </row>
    <row r="26" spans="1:9" ht="15.75" customHeight="1" x14ac:dyDescent="0.15">
      <c r="A26" s="2" t="s">
        <v>15</v>
      </c>
      <c r="B26" s="2" t="s">
        <v>115</v>
      </c>
      <c r="C26" s="2">
        <v>933221100</v>
      </c>
      <c r="D26" s="2">
        <v>2000000</v>
      </c>
      <c r="F26" s="2">
        <v>15000</v>
      </c>
      <c r="G26" s="2">
        <f t="shared" si="0"/>
        <v>0</v>
      </c>
      <c r="H26" s="2" t="s">
        <v>7</v>
      </c>
      <c r="I26" s="2">
        <f t="shared" si="1"/>
        <v>1985000</v>
      </c>
    </row>
    <row r="27" spans="1:9" ht="15.75" customHeight="1" x14ac:dyDescent="0.15">
      <c r="A27" s="2" t="s">
        <v>16</v>
      </c>
      <c r="B27" s="2" t="s">
        <v>116</v>
      </c>
      <c r="C27" s="2">
        <v>966445566</v>
      </c>
      <c r="D27" s="2">
        <v>500000</v>
      </c>
      <c r="E27" s="2" t="s">
        <v>9</v>
      </c>
      <c r="F27" s="2">
        <v>30000</v>
      </c>
      <c r="G27" s="2">
        <f t="shared" si="0"/>
        <v>25000</v>
      </c>
      <c r="H27" s="2" t="s">
        <v>10</v>
      </c>
      <c r="I27" s="2">
        <f t="shared" si="1"/>
        <v>445000</v>
      </c>
    </row>
    <row r="28" spans="1:9" ht="15.75" customHeight="1" x14ac:dyDescent="0.15">
      <c r="A28" s="2" t="s">
        <v>17</v>
      </c>
      <c r="B28" s="2" t="s">
        <v>117</v>
      </c>
      <c r="C28" s="2">
        <v>922778899</v>
      </c>
      <c r="D28" s="2">
        <v>1500000</v>
      </c>
      <c r="E28" s="2" t="s">
        <v>6</v>
      </c>
      <c r="F28" s="2">
        <v>15000</v>
      </c>
      <c r="G28" s="2">
        <f t="shared" si="0"/>
        <v>150000</v>
      </c>
      <c r="H28" s="2" t="s">
        <v>7</v>
      </c>
      <c r="I28" s="2">
        <f t="shared" si="1"/>
        <v>1335000</v>
      </c>
    </row>
    <row r="29" spans="1:9" ht="15.75" customHeight="1" x14ac:dyDescent="0.15">
      <c r="A29" s="2" t="s">
        <v>18</v>
      </c>
      <c r="B29" s="2" t="s">
        <v>118</v>
      </c>
      <c r="C29" s="2">
        <v>911002233</v>
      </c>
      <c r="D29" s="2">
        <v>2000000</v>
      </c>
      <c r="E29" s="2" t="s">
        <v>9</v>
      </c>
      <c r="F29" s="2">
        <v>30000</v>
      </c>
      <c r="G29" s="2">
        <f t="shared" si="0"/>
        <v>100000</v>
      </c>
      <c r="H29" s="2" t="s">
        <v>12</v>
      </c>
      <c r="I29" s="2">
        <f t="shared" si="1"/>
        <v>1870000</v>
      </c>
    </row>
    <row r="30" spans="1:9" ht="15.75" customHeight="1" x14ac:dyDescent="0.15">
      <c r="A30" s="2" t="s">
        <v>20</v>
      </c>
      <c r="B30" s="2" t="s">
        <v>120</v>
      </c>
      <c r="C30" s="2">
        <v>900112233</v>
      </c>
      <c r="D30" s="2">
        <v>1500000</v>
      </c>
      <c r="E30" s="2" t="s">
        <v>6</v>
      </c>
      <c r="F30" s="2">
        <v>30000</v>
      </c>
      <c r="G30" s="2">
        <f t="shared" si="0"/>
        <v>150000</v>
      </c>
      <c r="H30" s="2" t="s">
        <v>7</v>
      </c>
      <c r="I30" s="2">
        <f t="shared" si="1"/>
        <v>1320000</v>
      </c>
    </row>
    <row r="31" spans="1:9" ht="15.75" customHeight="1" x14ac:dyDescent="0.15">
      <c r="A31" s="2" t="s">
        <v>21</v>
      </c>
      <c r="B31" s="2" t="s">
        <v>121</v>
      </c>
      <c r="C31" s="2">
        <v>977443322</v>
      </c>
      <c r="D31" s="2">
        <v>2000000</v>
      </c>
      <c r="E31" s="2" t="s">
        <v>9</v>
      </c>
      <c r="F31" s="2">
        <v>15000</v>
      </c>
      <c r="G31" s="2">
        <f t="shared" si="0"/>
        <v>100000</v>
      </c>
      <c r="H31" s="2" t="s">
        <v>10</v>
      </c>
      <c r="I31" s="2">
        <f t="shared" si="1"/>
        <v>1885000</v>
      </c>
    </row>
    <row r="32" spans="1:9" ht="15.75" customHeight="1" x14ac:dyDescent="0.15">
      <c r="A32" s="2" t="s">
        <v>22</v>
      </c>
      <c r="B32" s="2" t="s">
        <v>122</v>
      </c>
      <c r="C32" s="2">
        <v>944332211</v>
      </c>
      <c r="D32" s="2">
        <v>500000</v>
      </c>
      <c r="F32" s="2">
        <v>30000</v>
      </c>
      <c r="G32" s="2">
        <f t="shared" si="0"/>
        <v>0</v>
      </c>
      <c r="H32" s="2" t="s">
        <v>12</v>
      </c>
      <c r="I32" s="2">
        <f t="shared" si="1"/>
        <v>470000</v>
      </c>
    </row>
    <row r="33" spans="1:9" ht="15.75" customHeight="1" x14ac:dyDescent="0.15">
      <c r="A33" s="2" t="s">
        <v>23</v>
      </c>
      <c r="B33" s="2" t="s">
        <v>123</v>
      </c>
      <c r="C33" s="2">
        <v>911223344</v>
      </c>
      <c r="D33" s="2">
        <v>1500000</v>
      </c>
      <c r="E33" s="2" t="s">
        <v>6</v>
      </c>
      <c r="F33" s="2">
        <v>15000</v>
      </c>
      <c r="G33" s="2">
        <f t="shared" si="0"/>
        <v>150000</v>
      </c>
      <c r="H33" s="2" t="s">
        <v>7</v>
      </c>
      <c r="I33" s="2">
        <f t="shared" si="1"/>
        <v>1335000</v>
      </c>
    </row>
    <row r="34" spans="1:9" ht="15.75" customHeight="1" x14ac:dyDescent="0.15">
      <c r="A34" s="2" t="s">
        <v>25</v>
      </c>
      <c r="B34" s="2" t="s">
        <v>125</v>
      </c>
      <c r="C34" s="2">
        <v>966778899</v>
      </c>
      <c r="D34" s="2">
        <v>500000</v>
      </c>
      <c r="F34" s="2">
        <v>15000</v>
      </c>
      <c r="G34" s="2">
        <f t="shared" ref="G34:G65" si="2">IF(E34="VIP",D34*0.1,IF(E34="NORMAL",D34*0.05,0))</f>
        <v>0</v>
      </c>
      <c r="H34" s="2" t="s">
        <v>12</v>
      </c>
      <c r="I34" s="2">
        <f t="shared" ref="I34:I65" si="3">D34-G34-F34</f>
        <v>485000</v>
      </c>
    </row>
    <row r="35" spans="1:9" ht="15.75" customHeight="1" x14ac:dyDescent="0.15">
      <c r="A35" s="2" t="s">
        <v>26</v>
      </c>
      <c r="B35" s="2" t="s">
        <v>126</v>
      </c>
      <c r="C35" s="2">
        <v>922334455</v>
      </c>
      <c r="D35" s="2">
        <v>1500000</v>
      </c>
      <c r="E35" s="2" t="s">
        <v>6</v>
      </c>
      <c r="F35" s="2">
        <v>30000</v>
      </c>
      <c r="G35" s="2">
        <f t="shared" si="2"/>
        <v>150000</v>
      </c>
      <c r="H35" s="2" t="s">
        <v>7</v>
      </c>
      <c r="I35" s="2">
        <f t="shared" si="3"/>
        <v>1320000</v>
      </c>
    </row>
    <row r="36" spans="1:9" ht="15.75" customHeight="1" x14ac:dyDescent="0.15">
      <c r="A36" s="2" t="s">
        <v>27</v>
      </c>
      <c r="B36" s="2" t="s">
        <v>127</v>
      </c>
      <c r="C36" s="2">
        <v>988112233</v>
      </c>
      <c r="D36" s="2">
        <v>2000000</v>
      </c>
      <c r="E36" s="2" t="s">
        <v>9</v>
      </c>
      <c r="F36" s="2">
        <v>15000</v>
      </c>
      <c r="G36" s="2">
        <f t="shared" si="2"/>
        <v>100000</v>
      </c>
      <c r="H36" s="2" t="s">
        <v>10</v>
      </c>
      <c r="I36" s="2">
        <f t="shared" si="3"/>
        <v>1885000</v>
      </c>
    </row>
    <row r="37" spans="1:9" ht="15.75" customHeight="1" x14ac:dyDescent="0.15">
      <c r="A37" s="2" t="s">
        <v>28</v>
      </c>
      <c r="B37" s="2" t="s">
        <v>128</v>
      </c>
      <c r="C37" s="2">
        <v>900334455</v>
      </c>
      <c r="D37" s="2">
        <v>500000</v>
      </c>
      <c r="E37" s="2" t="s">
        <v>6</v>
      </c>
      <c r="F37" s="2">
        <v>30000</v>
      </c>
      <c r="G37" s="2">
        <f t="shared" si="2"/>
        <v>50000</v>
      </c>
      <c r="H37" s="2" t="s">
        <v>7</v>
      </c>
      <c r="I37" s="2">
        <f t="shared" si="3"/>
        <v>420000</v>
      </c>
    </row>
    <row r="38" spans="1:9" ht="15.75" customHeight="1" x14ac:dyDescent="0.15">
      <c r="A38" s="2" t="s">
        <v>30</v>
      </c>
      <c r="B38" s="2" t="s">
        <v>130</v>
      </c>
      <c r="C38" s="2">
        <v>944778899</v>
      </c>
      <c r="D38" s="2">
        <v>2000000</v>
      </c>
      <c r="E38" s="2" t="s">
        <v>9</v>
      </c>
      <c r="F38" s="2">
        <v>30000</v>
      </c>
      <c r="G38" s="2">
        <f t="shared" si="2"/>
        <v>100000</v>
      </c>
      <c r="H38" s="2" t="s">
        <v>7</v>
      </c>
      <c r="I38" s="2">
        <f t="shared" si="3"/>
        <v>1870000</v>
      </c>
    </row>
    <row r="39" spans="1:9" ht="15.75" customHeight="1" x14ac:dyDescent="0.15">
      <c r="A39" s="2" t="s">
        <v>31</v>
      </c>
      <c r="B39" s="2" t="s">
        <v>131</v>
      </c>
      <c r="C39" s="2">
        <v>911556677</v>
      </c>
      <c r="D39" s="2">
        <v>500000</v>
      </c>
      <c r="E39" s="2" t="s">
        <v>6</v>
      </c>
      <c r="F39" s="2">
        <v>15000</v>
      </c>
      <c r="G39" s="2">
        <f t="shared" si="2"/>
        <v>50000</v>
      </c>
      <c r="H39" s="2" t="s">
        <v>7</v>
      </c>
      <c r="I39" s="2">
        <f t="shared" si="3"/>
        <v>435000</v>
      </c>
    </row>
    <row r="40" spans="1:9" ht="15.75" customHeight="1" x14ac:dyDescent="0.15">
      <c r="A40" s="2" t="s">
        <v>32</v>
      </c>
      <c r="B40" s="2" t="s">
        <v>132</v>
      </c>
      <c r="C40" s="2">
        <v>933889900</v>
      </c>
      <c r="D40" s="2">
        <v>1500000</v>
      </c>
      <c r="F40" s="2">
        <v>30000</v>
      </c>
      <c r="G40" s="2">
        <f t="shared" si="2"/>
        <v>0</v>
      </c>
      <c r="H40" s="2" t="s">
        <v>10</v>
      </c>
      <c r="I40" s="2">
        <f t="shared" si="3"/>
        <v>1470000</v>
      </c>
    </row>
    <row r="41" spans="1:9" ht="15.75" customHeight="1" x14ac:dyDescent="0.15">
      <c r="A41" s="2" t="s">
        <v>33</v>
      </c>
      <c r="B41" s="2" t="s">
        <v>133</v>
      </c>
      <c r="C41" s="2">
        <v>966112233</v>
      </c>
      <c r="D41" s="2">
        <v>2000000</v>
      </c>
      <c r="E41" s="2" t="s">
        <v>9</v>
      </c>
      <c r="F41" s="2">
        <v>15000</v>
      </c>
      <c r="G41" s="2">
        <f t="shared" si="2"/>
        <v>100000</v>
      </c>
      <c r="H41" s="2" t="s">
        <v>12</v>
      </c>
      <c r="I41" s="2">
        <f t="shared" si="3"/>
        <v>1885000</v>
      </c>
    </row>
    <row r="42" spans="1:9" ht="15.75" customHeight="1" x14ac:dyDescent="0.15">
      <c r="A42" s="2" t="s">
        <v>35</v>
      </c>
      <c r="B42" s="2" t="s">
        <v>110</v>
      </c>
      <c r="C42" s="2">
        <v>988776655</v>
      </c>
      <c r="D42" s="2">
        <v>1500000</v>
      </c>
      <c r="E42" s="2" t="s">
        <v>9</v>
      </c>
      <c r="F42" s="2">
        <v>15000</v>
      </c>
      <c r="G42" s="2">
        <f t="shared" si="2"/>
        <v>75000</v>
      </c>
      <c r="H42" s="2" t="s">
        <v>7</v>
      </c>
      <c r="I42" s="2">
        <f t="shared" si="3"/>
        <v>1410000</v>
      </c>
    </row>
    <row r="43" spans="1:9" ht="15.75" customHeight="1" x14ac:dyDescent="0.15">
      <c r="A43" s="2" t="s">
        <v>36</v>
      </c>
      <c r="B43" s="2" t="s">
        <v>111</v>
      </c>
      <c r="C43" s="2">
        <v>912345678</v>
      </c>
      <c r="D43" s="2">
        <v>2000000</v>
      </c>
      <c r="F43" s="2">
        <v>30000</v>
      </c>
      <c r="G43" s="2">
        <f t="shared" si="2"/>
        <v>0</v>
      </c>
      <c r="H43" s="2" t="s">
        <v>12</v>
      </c>
      <c r="I43" s="2">
        <f t="shared" si="3"/>
        <v>1970000</v>
      </c>
    </row>
    <row r="44" spans="1:9" ht="15.75" customHeight="1" x14ac:dyDescent="0.15">
      <c r="A44" s="2" t="s">
        <v>37</v>
      </c>
      <c r="B44" s="2" t="s">
        <v>112</v>
      </c>
      <c r="C44" s="2">
        <v>905554433</v>
      </c>
      <c r="D44" s="2">
        <v>500000</v>
      </c>
      <c r="E44" s="2" t="s">
        <v>6</v>
      </c>
      <c r="F44" s="2">
        <v>15000</v>
      </c>
      <c r="G44" s="2">
        <f t="shared" si="2"/>
        <v>50000</v>
      </c>
      <c r="H44" s="2" t="s">
        <v>7</v>
      </c>
      <c r="I44" s="2">
        <f t="shared" si="3"/>
        <v>435000</v>
      </c>
    </row>
    <row r="45" spans="1:9" ht="15.75" customHeight="1" x14ac:dyDescent="0.15">
      <c r="A45" s="2" t="s">
        <v>38</v>
      </c>
      <c r="B45" s="2" t="s">
        <v>113</v>
      </c>
      <c r="C45" s="2">
        <v>977112233</v>
      </c>
      <c r="D45" s="2">
        <v>1500000</v>
      </c>
      <c r="E45" s="2" t="s">
        <v>9</v>
      </c>
      <c r="F45" s="2">
        <v>30000</v>
      </c>
      <c r="G45" s="2">
        <f t="shared" si="2"/>
        <v>75000</v>
      </c>
      <c r="H45" s="2" t="s">
        <v>10</v>
      </c>
      <c r="I45" s="2">
        <f t="shared" si="3"/>
        <v>1395000</v>
      </c>
    </row>
    <row r="46" spans="1:9" ht="15.75" customHeight="1" x14ac:dyDescent="0.15">
      <c r="A46" s="2" t="s">
        <v>40</v>
      </c>
      <c r="B46" s="2" t="s">
        <v>115</v>
      </c>
      <c r="C46" s="2">
        <v>933221100</v>
      </c>
      <c r="D46" s="2">
        <v>500000</v>
      </c>
      <c r="F46" s="2">
        <v>30000</v>
      </c>
      <c r="G46" s="2">
        <f t="shared" si="2"/>
        <v>0</v>
      </c>
      <c r="H46" s="2" t="s">
        <v>12</v>
      </c>
      <c r="I46" s="2">
        <f t="shared" si="3"/>
        <v>470000</v>
      </c>
    </row>
    <row r="47" spans="1:9" ht="15.75" customHeight="1" x14ac:dyDescent="0.15">
      <c r="A47" s="2" t="s">
        <v>41</v>
      </c>
      <c r="B47" s="2" t="s">
        <v>116</v>
      </c>
      <c r="C47" s="2">
        <v>966445566</v>
      </c>
      <c r="D47" s="2">
        <v>1500000</v>
      </c>
      <c r="E47" s="2" t="s">
        <v>9</v>
      </c>
      <c r="F47" s="2">
        <v>15000</v>
      </c>
      <c r="G47" s="2">
        <f t="shared" si="2"/>
        <v>75000</v>
      </c>
      <c r="H47" s="2" t="s">
        <v>7</v>
      </c>
      <c r="I47" s="2">
        <f t="shared" si="3"/>
        <v>1410000</v>
      </c>
    </row>
    <row r="48" spans="1:9" ht="13" x14ac:dyDescent="0.15">
      <c r="A48" s="2" t="s">
        <v>42</v>
      </c>
      <c r="B48" s="2" t="s">
        <v>117</v>
      </c>
      <c r="C48" s="2">
        <v>922778899</v>
      </c>
      <c r="D48" s="2">
        <v>2000000</v>
      </c>
      <c r="E48" s="2" t="s">
        <v>6</v>
      </c>
      <c r="F48" s="2">
        <v>30000</v>
      </c>
      <c r="G48" s="2">
        <f t="shared" si="2"/>
        <v>200000</v>
      </c>
      <c r="H48" s="2" t="s">
        <v>7</v>
      </c>
      <c r="I48" s="2">
        <f t="shared" si="3"/>
        <v>1770000</v>
      </c>
    </row>
    <row r="49" spans="1:9" ht="13" x14ac:dyDescent="0.15">
      <c r="A49" s="2" t="s">
        <v>43</v>
      </c>
      <c r="B49" s="2" t="s">
        <v>118</v>
      </c>
      <c r="C49" s="2">
        <v>911002233</v>
      </c>
      <c r="D49" s="2">
        <v>500000</v>
      </c>
      <c r="E49" s="2" t="s">
        <v>9</v>
      </c>
      <c r="F49" s="2">
        <v>15000</v>
      </c>
      <c r="G49" s="2">
        <f t="shared" si="2"/>
        <v>25000</v>
      </c>
      <c r="H49" s="2" t="s">
        <v>10</v>
      </c>
      <c r="I49" s="2">
        <f t="shared" si="3"/>
        <v>460000</v>
      </c>
    </row>
    <row r="50" spans="1:9" ht="13" x14ac:dyDescent="0.15">
      <c r="A50" s="2" t="s">
        <v>45</v>
      </c>
      <c r="B50" s="2" t="s">
        <v>120</v>
      </c>
      <c r="C50" s="2">
        <v>900112233</v>
      </c>
      <c r="D50" s="2">
        <v>2000000</v>
      </c>
      <c r="E50" s="2" t="s">
        <v>6</v>
      </c>
      <c r="F50" s="2">
        <v>15000</v>
      </c>
      <c r="G50" s="2">
        <f t="shared" si="2"/>
        <v>200000</v>
      </c>
      <c r="H50" s="2" t="s">
        <v>12</v>
      </c>
      <c r="I50" s="2">
        <f t="shared" si="3"/>
        <v>1785000</v>
      </c>
    </row>
    <row r="51" spans="1:9" ht="13" x14ac:dyDescent="0.15">
      <c r="A51" s="2" t="s">
        <v>46</v>
      </c>
      <c r="B51" s="2" t="s">
        <v>121</v>
      </c>
      <c r="C51" s="2">
        <v>977443322</v>
      </c>
      <c r="D51" s="2">
        <v>500000</v>
      </c>
      <c r="E51" s="2" t="s">
        <v>9</v>
      </c>
      <c r="F51" s="2">
        <v>30000</v>
      </c>
      <c r="G51" s="2">
        <f t="shared" si="2"/>
        <v>25000</v>
      </c>
      <c r="H51" s="2" t="s">
        <v>7</v>
      </c>
      <c r="I51" s="2">
        <f t="shared" si="3"/>
        <v>445000</v>
      </c>
    </row>
    <row r="52" spans="1:9" ht="13" x14ac:dyDescent="0.15">
      <c r="A52" s="2" t="s">
        <v>47</v>
      </c>
      <c r="B52" s="2" t="s">
        <v>122</v>
      </c>
      <c r="C52" s="2">
        <v>944332211</v>
      </c>
      <c r="D52" s="2">
        <v>1500000</v>
      </c>
      <c r="F52" s="2">
        <v>15000</v>
      </c>
      <c r="G52" s="2">
        <f t="shared" si="2"/>
        <v>0</v>
      </c>
      <c r="H52" s="2" t="s">
        <v>7</v>
      </c>
      <c r="I52" s="2">
        <f t="shared" si="3"/>
        <v>1485000</v>
      </c>
    </row>
    <row r="53" spans="1:9" ht="13" x14ac:dyDescent="0.15">
      <c r="A53" s="2" t="s">
        <v>48</v>
      </c>
      <c r="B53" s="2" t="s">
        <v>123</v>
      </c>
      <c r="C53" s="2">
        <v>911223344</v>
      </c>
      <c r="D53" s="2">
        <v>2000000</v>
      </c>
      <c r="E53" s="2" t="s">
        <v>6</v>
      </c>
      <c r="F53" s="2">
        <v>30000</v>
      </c>
      <c r="G53" s="2">
        <f t="shared" si="2"/>
        <v>200000</v>
      </c>
      <c r="H53" s="2" t="s">
        <v>10</v>
      </c>
      <c r="I53" s="2">
        <f t="shared" si="3"/>
        <v>1770000</v>
      </c>
    </row>
    <row r="54" spans="1:9" ht="13" x14ac:dyDescent="0.15">
      <c r="A54" s="2" t="s">
        <v>50</v>
      </c>
      <c r="B54" s="2" t="s">
        <v>125</v>
      </c>
      <c r="C54" s="2">
        <v>966778899</v>
      </c>
      <c r="D54" s="2">
        <v>1500000</v>
      </c>
      <c r="F54" s="2">
        <v>30000</v>
      </c>
      <c r="G54" s="2">
        <f t="shared" si="2"/>
        <v>0</v>
      </c>
      <c r="H54" s="2" t="s">
        <v>12</v>
      </c>
      <c r="I54" s="2">
        <f t="shared" si="3"/>
        <v>1470000</v>
      </c>
    </row>
    <row r="55" spans="1:9" ht="13" x14ac:dyDescent="0.15">
      <c r="A55" s="2" t="s">
        <v>51</v>
      </c>
      <c r="B55" s="2" t="s">
        <v>126</v>
      </c>
      <c r="C55" s="2">
        <v>922334455</v>
      </c>
      <c r="D55" s="2">
        <v>2000000</v>
      </c>
      <c r="E55" s="2" t="s">
        <v>6</v>
      </c>
      <c r="F55" s="2">
        <v>15000</v>
      </c>
      <c r="G55" s="2">
        <f t="shared" si="2"/>
        <v>200000</v>
      </c>
      <c r="H55" s="2" t="s">
        <v>7</v>
      </c>
      <c r="I55" s="2">
        <f t="shared" si="3"/>
        <v>1785000</v>
      </c>
    </row>
    <row r="56" spans="1:9" ht="13" x14ac:dyDescent="0.15">
      <c r="A56" s="2" t="s">
        <v>52</v>
      </c>
      <c r="B56" s="2" t="s">
        <v>127</v>
      </c>
      <c r="C56" s="2">
        <v>988112233</v>
      </c>
      <c r="D56" s="2">
        <v>500000</v>
      </c>
      <c r="E56" s="2" t="s">
        <v>9</v>
      </c>
      <c r="F56" s="2">
        <v>30000</v>
      </c>
      <c r="G56" s="2">
        <f t="shared" si="2"/>
        <v>25000</v>
      </c>
      <c r="H56" s="2" t="s">
        <v>7</v>
      </c>
      <c r="I56" s="2">
        <f t="shared" si="3"/>
        <v>445000</v>
      </c>
    </row>
    <row r="57" spans="1:9" ht="13" x14ac:dyDescent="0.15">
      <c r="A57" s="2" t="s">
        <v>53</v>
      </c>
      <c r="B57" s="2" t="s">
        <v>128</v>
      </c>
      <c r="C57" s="2">
        <v>900334455</v>
      </c>
      <c r="D57" s="2">
        <v>1500000</v>
      </c>
      <c r="E57" s="2" t="s">
        <v>6</v>
      </c>
      <c r="F57" s="2">
        <v>15000</v>
      </c>
      <c r="G57" s="2">
        <f t="shared" si="2"/>
        <v>150000</v>
      </c>
      <c r="H57" s="2" t="s">
        <v>10</v>
      </c>
      <c r="I57" s="2">
        <f t="shared" si="3"/>
        <v>1335000</v>
      </c>
    </row>
    <row r="58" spans="1:9" ht="13" x14ac:dyDescent="0.15">
      <c r="A58" s="2" t="s">
        <v>55</v>
      </c>
      <c r="B58" s="2" t="s">
        <v>130</v>
      </c>
      <c r="C58" s="2">
        <v>944778899</v>
      </c>
      <c r="D58" s="2">
        <v>500000</v>
      </c>
      <c r="E58" s="2" t="s">
        <v>9</v>
      </c>
      <c r="F58" s="2">
        <v>15000</v>
      </c>
      <c r="G58" s="2">
        <f t="shared" si="2"/>
        <v>25000</v>
      </c>
      <c r="H58" s="2" t="s">
        <v>12</v>
      </c>
      <c r="I58" s="2">
        <f t="shared" si="3"/>
        <v>460000</v>
      </c>
    </row>
    <row r="59" spans="1:9" ht="13" x14ac:dyDescent="0.15">
      <c r="A59" s="2" t="s">
        <v>56</v>
      </c>
      <c r="B59" s="2" t="s">
        <v>131</v>
      </c>
      <c r="C59" s="2">
        <v>911556677</v>
      </c>
      <c r="D59" s="2">
        <v>1500000</v>
      </c>
      <c r="E59" s="2" t="s">
        <v>6</v>
      </c>
      <c r="F59" s="2">
        <v>30000</v>
      </c>
      <c r="G59" s="2">
        <f t="shared" si="2"/>
        <v>150000</v>
      </c>
      <c r="H59" s="2" t="s">
        <v>7</v>
      </c>
      <c r="I59" s="2">
        <f t="shared" si="3"/>
        <v>1320000</v>
      </c>
    </row>
    <row r="60" spans="1:9" ht="13" x14ac:dyDescent="0.15">
      <c r="A60" s="2" t="s">
        <v>57</v>
      </c>
      <c r="B60" s="2" t="s">
        <v>132</v>
      </c>
      <c r="C60" s="2">
        <v>933889900</v>
      </c>
      <c r="D60" s="2">
        <v>2000000</v>
      </c>
      <c r="F60" s="2">
        <v>15000</v>
      </c>
      <c r="G60" s="2">
        <f t="shared" si="2"/>
        <v>0</v>
      </c>
      <c r="H60" s="2" t="s">
        <v>7</v>
      </c>
      <c r="I60" s="2">
        <f t="shared" si="3"/>
        <v>1985000</v>
      </c>
    </row>
    <row r="61" spans="1:9" ht="13" x14ac:dyDescent="0.15">
      <c r="A61" s="2" t="s">
        <v>58</v>
      </c>
      <c r="B61" s="2" t="s">
        <v>133</v>
      </c>
      <c r="C61" s="2">
        <v>966112233</v>
      </c>
      <c r="D61" s="2">
        <v>500000</v>
      </c>
      <c r="E61" s="2" t="s">
        <v>9</v>
      </c>
      <c r="F61" s="2">
        <v>30000</v>
      </c>
      <c r="G61" s="2">
        <f t="shared" si="2"/>
        <v>25000</v>
      </c>
      <c r="H61" s="2" t="s">
        <v>10</v>
      </c>
      <c r="I61" s="2">
        <f t="shared" si="3"/>
        <v>445000</v>
      </c>
    </row>
    <row r="62" spans="1:9" ht="13" x14ac:dyDescent="0.15">
      <c r="A62" s="2" t="s">
        <v>60</v>
      </c>
      <c r="B62" s="2" t="s">
        <v>110</v>
      </c>
      <c r="C62" s="2">
        <v>988776655</v>
      </c>
      <c r="D62" s="2">
        <v>2000000</v>
      </c>
      <c r="E62" s="2" t="s">
        <v>9</v>
      </c>
      <c r="F62" s="2">
        <v>30000</v>
      </c>
      <c r="G62" s="2">
        <f t="shared" si="2"/>
        <v>100000</v>
      </c>
      <c r="H62" s="2" t="s">
        <v>12</v>
      </c>
      <c r="I62" s="2">
        <f t="shared" si="3"/>
        <v>1870000</v>
      </c>
    </row>
    <row r="63" spans="1:9" ht="13" x14ac:dyDescent="0.15">
      <c r="A63" s="2" t="s">
        <v>61</v>
      </c>
      <c r="B63" s="2" t="s">
        <v>111</v>
      </c>
      <c r="C63" s="2">
        <v>912345678</v>
      </c>
      <c r="D63" s="2">
        <v>500000</v>
      </c>
      <c r="F63" s="2">
        <v>15000</v>
      </c>
      <c r="G63" s="2">
        <f t="shared" si="2"/>
        <v>0</v>
      </c>
      <c r="H63" s="2" t="s">
        <v>7</v>
      </c>
      <c r="I63" s="2">
        <f t="shared" si="3"/>
        <v>485000</v>
      </c>
    </row>
    <row r="64" spans="1:9" ht="13" x14ac:dyDescent="0.15">
      <c r="A64" s="2" t="s">
        <v>62</v>
      </c>
      <c r="B64" s="2" t="s">
        <v>112</v>
      </c>
      <c r="C64" s="2">
        <v>905554433</v>
      </c>
      <c r="D64" s="2">
        <v>1500000</v>
      </c>
      <c r="E64" s="2" t="s">
        <v>6</v>
      </c>
      <c r="F64" s="2">
        <v>30000</v>
      </c>
      <c r="G64" s="2">
        <f t="shared" si="2"/>
        <v>150000</v>
      </c>
      <c r="H64" s="2" t="s">
        <v>7</v>
      </c>
      <c r="I64" s="2">
        <f t="shared" si="3"/>
        <v>1320000</v>
      </c>
    </row>
    <row r="65" spans="1:9" ht="13" x14ac:dyDescent="0.15">
      <c r="A65" s="2" t="s">
        <v>63</v>
      </c>
      <c r="B65" s="2" t="s">
        <v>113</v>
      </c>
      <c r="C65" s="2">
        <v>977112233</v>
      </c>
      <c r="D65" s="2">
        <v>2000000</v>
      </c>
      <c r="E65" s="2" t="s">
        <v>9</v>
      </c>
      <c r="F65" s="2">
        <v>15000</v>
      </c>
      <c r="G65" s="2">
        <f t="shared" si="2"/>
        <v>100000</v>
      </c>
      <c r="H65" s="2" t="s">
        <v>10</v>
      </c>
      <c r="I65" s="2">
        <f t="shared" si="3"/>
        <v>1885000</v>
      </c>
    </row>
    <row r="66" spans="1:9" ht="13" x14ac:dyDescent="0.15">
      <c r="A66" s="2" t="s">
        <v>65</v>
      </c>
      <c r="B66" s="2" t="s">
        <v>115</v>
      </c>
      <c r="C66" s="2">
        <v>933221100</v>
      </c>
      <c r="D66" s="2">
        <v>1500000</v>
      </c>
      <c r="F66" s="2">
        <v>15000</v>
      </c>
      <c r="G66" s="2">
        <f t="shared" ref="G66:G101" si="4">IF(E66="VIP",D66*0.1,IF(E66="NORMAL",D66*0.05,0))</f>
        <v>0</v>
      </c>
      <c r="H66" s="2" t="s">
        <v>12</v>
      </c>
      <c r="I66" s="2">
        <f t="shared" ref="I66:I101" si="5">D66-G66-F66</f>
        <v>1485000</v>
      </c>
    </row>
    <row r="67" spans="1:9" ht="13" x14ac:dyDescent="0.15">
      <c r="A67" s="2" t="s">
        <v>66</v>
      </c>
      <c r="B67" s="2" t="s">
        <v>116</v>
      </c>
      <c r="C67" s="2">
        <v>966445566</v>
      </c>
      <c r="D67" s="2">
        <v>2000000</v>
      </c>
      <c r="E67" s="2" t="s">
        <v>9</v>
      </c>
      <c r="F67" s="2">
        <v>30000</v>
      </c>
      <c r="G67" s="2">
        <f t="shared" si="4"/>
        <v>100000</v>
      </c>
      <c r="H67" s="2" t="s">
        <v>7</v>
      </c>
      <c r="I67" s="2">
        <f t="shared" si="5"/>
        <v>1870000</v>
      </c>
    </row>
    <row r="68" spans="1:9" ht="13" x14ac:dyDescent="0.15">
      <c r="A68" s="2" t="s">
        <v>67</v>
      </c>
      <c r="B68" s="2" t="s">
        <v>117</v>
      </c>
      <c r="C68" s="2">
        <v>922778899</v>
      </c>
      <c r="D68" s="2">
        <v>500000</v>
      </c>
      <c r="E68" s="2" t="s">
        <v>6</v>
      </c>
      <c r="F68" s="2">
        <v>15000</v>
      </c>
      <c r="G68" s="2">
        <f t="shared" si="4"/>
        <v>50000</v>
      </c>
      <c r="H68" s="2" t="s">
        <v>7</v>
      </c>
      <c r="I68" s="2">
        <f t="shared" si="5"/>
        <v>435000</v>
      </c>
    </row>
    <row r="69" spans="1:9" ht="13" x14ac:dyDescent="0.15">
      <c r="A69" s="2" t="s">
        <v>68</v>
      </c>
      <c r="B69" s="2" t="s">
        <v>118</v>
      </c>
      <c r="C69" s="2">
        <v>911002233</v>
      </c>
      <c r="D69" s="2">
        <v>1500000</v>
      </c>
      <c r="E69" s="2" t="s">
        <v>9</v>
      </c>
      <c r="F69" s="2">
        <v>30000</v>
      </c>
      <c r="G69" s="2">
        <f t="shared" si="4"/>
        <v>75000</v>
      </c>
      <c r="H69" s="2" t="s">
        <v>10</v>
      </c>
      <c r="I69" s="2">
        <f t="shared" si="5"/>
        <v>1395000</v>
      </c>
    </row>
    <row r="70" spans="1:9" ht="13" x14ac:dyDescent="0.15">
      <c r="A70" s="2" t="s">
        <v>70</v>
      </c>
      <c r="B70" s="2" t="s">
        <v>120</v>
      </c>
      <c r="C70" s="2">
        <v>900112233</v>
      </c>
      <c r="D70" s="2">
        <v>500000</v>
      </c>
      <c r="E70" s="2" t="s">
        <v>6</v>
      </c>
      <c r="F70" s="2">
        <v>30000</v>
      </c>
      <c r="G70" s="2">
        <f t="shared" si="4"/>
        <v>50000</v>
      </c>
      <c r="H70" s="2" t="s">
        <v>12</v>
      </c>
      <c r="I70" s="2">
        <f t="shared" si="5"/>
        <v>420000</v>
      </c>
    </row>
    <row r="71" spans="1:9" ht="13" x14ac:dyDescent="0.15">
      <c r="A71" s="2" t="s">
        <v>71</v>
      </c>
      <c r="B71" s="2" t="s">
        <v>121</v>
      </c>
      <c r="C71" s="2">
        <v>977443322</v>
      </c>
      <c r="D71" s="2">
        <v>1500000</v>
      </c>
      <c r="E71" s="2" t="s">
        <v>9</v>
      </c>
      <c r="F71" s="2">
        <v>15000</v>
      </c>
      <c r="G71" s="2">
        <f t="shared" si="4"/>
        <v>75000</v>
      </c>
      <c r="H71" s="2" t="s">
        <v>7</v>
      </c>
      <c r="I71" s="2">
        <f t="shared" si="5"/>
        <v>1410000</v>
      </c>
    </row>
    <row r="72" spans="1:9" ht="13" x14ac:dyDescent="0.15">
      <c r="A72" s="2" t="s">
        <v>72</v>
      </c>
      <c r="B72" s="2" t="s">
        <v>122</v>
      </c>
      <c r="C72" s="2">
        <v>944332211</v>
      </c>
      <c r="D72" s="2">
        <v>2000000</v>
      </c>
      <c r="F72" s="2">
        <v>30000</v>
      </c>
      <c r="G72" s="2">
        <f t="shared" si="4"/>
        <v>0</v>
      </c>
      <c r="H72" s="2" t="s">
        <v>7</v>
      </c>
      <c r="I72" s="2">
        <f t="shared" si="5"/>
        <v>1970000</v>
      </c>
    </row>
    <row r="73" spans="1:9" ht="13" x14ac:dyDescent="0.15">
      <c r="A73" s="2" t="s">
        <v>73</v>
      </c>
      <c r="B73" s="2" t="s">
        <v>123</v>
      </c>
      <c r="C73" s="2">
        <v>911223344</v>
      </c>
      <c r="D73" s="2">
        <v>500000</v>
      </c>
      <c r="E73" s="2" t="s">
        <v>6</v>
      </c>
      <c r="F73" s="2">
        <v>15000</v>
      </c>
      <c r="G73" s="2">
        <f t="shared" si="4"/>
        <v>50000</v>
      </c>
      <c r="H73" s="2" t="s">
        <v>10</v>
      </c>
      <c r="I73" s="2">
        <f t="shared" si="5"/>
        <v>435000</v>
      </c>
    </row>
    <row r="74" spans="1:9" ht="13" x14ac:dyDescent="0.15">
      <c r="A74" s="2" t="s">
        <v>75</v>
      </c>
      <c r="B74" s="2" t="s">
        <v>125</v>
      </c>
      <c r="C74" s="2">
        <v>966778899</v>
      </c>
      <c r="D74" s="2">
        <v>2000000</v>
      </c>
      <c r="F74" s="2">
        <v>15000</v>
      </c>
      <c r="G74" s="2">
        <f t="shared" si="4"/>
        <v>0</v>
      </c>
      <c r="H74" s="2" t="s">
        <v>12</v>
      </c>
      <c r="I74" s="2">
        <f t="shared" si="5"/>
        <v>1985000</v>
      </c>
    </row>
    <row r="75" spans="1:9" ht="13" x14ac:dyDescent="0.15">
      <c r="A75" s="2" t="s">
        <v>76</v>
      </c>
      <c r="B75" s="2" t="s">
        <v>126</v>
      </c>
      <c r="C75" s="2">
        <v>922334455</v>
      </c>
      <c r="D75" s="2">
        <v>500000</v>
      </c>
      <c r="E75" s="2" t="s">
        <v>6</v>
      </c>
      <c r="F75" s="2">
        <v>30000</v>
      </c>
      <c r="G75" s="2">
        <f t="shared" si="4"/>
        <v>50000</v>
      </c>
      <c r="H75" s="2" t="s">
        <v>7</v>
      </c>
      <c r="I75" s="2">
        <f t="shared" si="5"/>
        <v>420000</v>
      </c>
    </row>
    <row r="76" spans="1:9" ht="13" x14ac:dyDescent="0.15">
      <c r="A76" s="2" t="s">
        <v>77</v>
      </c>
      <c r="B76" s="2" t="s">
        <v>127</v>
      </c>
      <c r="C76" s="2">
        <v>988112233</v>
      </c>
      <c r="D76" s="2">
        <v>1500000</v>
      </c>
      <c r="E76" s="2" t="s">
        <v>9</v>
      </c>
      <c r="F76" s="2">
        <v>15000</v>
      </c>
      <c r="G76" s="2">
        <f t="shared" si="4"/>
        <v>75000</v>
      </c>
      <c r="H76" s="2" t="s">
        <v>7</v>
      </c>
      <c r="I76" s="2">
        <f t="shared" si="5"/>
        <v>1410000</v>
      </c>
    </row>
    <row r="77" spans="1:9" ht="13" x14ac:dyDescent="0.15">
      <c r="A77" s="2" t="s">
        <v>78</v>
      </c>
      <c r="B77" s="2" t="s">
        <v>128</v>
      </c>
      <c r="C77" s="2">
        <v>900334455</v>
      </c>
      <c r="D77" s="2">
        <v>2000000</v>
      </c>
      <c r="E77" s="2" t="s">
        <v>6</v>
      </c>
      <c r="F77" s="2">
        <v>30000</v>
      </c>
      <c r="G77" s="2">
        <f t="shared" si="4"/>
        <v>200000</v>
      </c>
      <c r="H77" s="2" t="s">
        <v>10</v>
      </c>
      <c r="I77" s="2">
        <f t="shared" si="5"/>
        <v>1770000</v>
      </c>
    </row>
    <row r="78" spans="1:9" ht="13" x14ac:dyDescent="0.15">
      <c r="A78" s="2" t="s">
        <v>80</v>
      </c>
      <c r="B78" s="2" t="s">
        <v>130</v>
      </c>
      <c r="C78" s="2">
        <v>944778899</v>
      </c>
      <c r="D78" s="2">
        <v>1500000</v>
      </c>
      <c r="E78" s="2" t="s">
        <v>9</v>
      </c>
      <c r="F78" s="2">
        <v>30000</v>
      </c>
      <c r="G78" s="2">
        <f t="shared" si="4"/>
        <v>75000</v>
      </c>
      <c r="H78" s="2" t="s">
        <v>12</v>
      </c>
      <c r="I78" s="2">
        <f t="shared" si="5"/>
        <v>1395000</v>
      </c>
    </row>
    <row r="79" spans="1:9" ht="13" x14ac:dyDescent="0.15">
      <c r="A79" s="2" t="s">
        <v>81</v>
      </c>
      <c r="B79" s="2" t="s">
        <v>131</v>
      </c>
      <c r="C79" s="2">
        <v>911556677</v>
      </c>
      <c r="D79" s="2">
        <v>2000000</v>
      </c>
      <c r="E79" s="2" t="s">
        <v>6</v>
      </c>
      <c r="F79" s="2">
        <v>15000</v>
      </c>
      <c r="G79" s="2">
        <f t="shared" si="4"/>
        <v>200000</v>
      </c>
      <c r="H79" s="2" t="s">
        <v>7</v>
      </c>
      <c r="I79" s="2">
        <f t="shared" si="5"/>
        <v>1785000</v>
      </c>
    </row>
    <row r="80" spans="1:9" ht="13" x14ac:dyDescent="0.15">
      <c r="A80" s="2" t="s">
        <v>82</v>
      </c>
      <c r="B80" s="2" t="s">
        <v>132</v>
      </c>
      <c r="C80" s="2">
        <v>933889900</v>
      </c>
      <c r="D80" s="2">
        <v>500000</v>
      </c>
      <c r="F80" s="2">
        <v>30000</v>
      </c>
      <c r="G80" s="2">
        <f t="shared" si="4"/>
        <v>0</v>
      </c>
      <c r="H80" s="2" t="s">
        <v>7</v>
      </c>
      <c r="I80" s="2">
        <f t="shared" si="5"/>
        <v>470000</v>
      </c>
    </row>
    <row r="81" spans="1:9" ht="13" x14ac:dyDescent="0.15">
      <c r="A81" s="2" t="s">
        <v>83</v>
      </c>
      <c r="B81" s="2" t="s">
        <v>133</v>
      </c>
      <c r="C81" s="2">
        <v>966112233</v>
      </c>
      <c r="D81" s="2">
        <v>1500000</v>
      </c>
      <c r="E81" s="2" t="s">
        <v>9</v>
      </c>
      <c r="F81" s="2">
        <v>15000</v>
      </c>
      <c r="G81" s="2">
        <f t="shared" si="4"/>
        <v>75000</v>
      </c>
      <c r="H81" s="2" t="s">
        <v>10</v>
      </c>
      <c r="I81" s="2">
        <f t="shared" si="5"/>
        <v>1410000</v>
      </c>
    </row>
    <row r="82" spans="1:9" ht="13" x14ac:dyDescent="0.15">
      <c r="A82" s="2" t="s">
        <v>85</v>
      </c>
      <c r="B82" s="2" t="s">
        <v>110</v>
      </c>
      <c r="C82" s="2">
        <v>988776655</v>
      </c>
      <c r="D82" s="2">
        <v>500000</v>
      </c>
      <c r="E82" s="2" t="s">
        <v>9</v>
      </c>
      <c r="F82" s="2">
        <v>15000</v>
      </c>
      <c r="G82" s="2">
        <f t="shared" si="4"/>
        <v>25000</v>
      </c>
      <c r="H82" s="2" t="s">
        <v>12</v>
      </c>
      <c r="I82" s="2">
        <f t="shared" si="5"/>
        <v>460000</v>
      </c>
    </row>
    <row r="83" spans="1:9" ht="13" x14ac:dyDescent="0.15">
      <c r="A83" s="2" t="s">
        <v>86</v>
      </c>
      <c r="B83" s="2" t="s">
        <v>111</v>
      </c>
      <c r="C83" s="2">
        <v>912345678</v>
      </c>
      <c r="D83" s="2">
        <v>1500000</v>
      </c>
      <c r="F83" s="2">
        <v>30000</v>
      </c>
      <c r="G83" s="2">
        <f t="shared" si="4"/>
        <v>0</v>
      </c>
      <c r="H83" s="2" t="s">
        <v>7</v>
      </c>
      <c r="I83" s="2">
        <f t="shared" si="5"/>
        <v>1470000</v>
      </c>
    </row>
    <row r="84" spans="1:9" ht="13" x14ac:dyDescent="0.15">
      <c r="A84" s="2" t="s">
        <v>87</v>
      </c>
      <c r="B84" s="2" t="s">
        <v>112</v>
      </c>
      <c r="C84" s="2">
        <v>905554433</v>
      </c>
      <c r="D84" s="2">
        <v>2000000</v>
      </c>
      <c r="E84" s="2" t="s">
        <v>6</v>
      </c>
      <c r="F84" s="2">
        <v>15000</v>
      </c>
      <c r="G84" s="2">
        <f t="shared" si="4"/>
        <v>200000</v>
      </c>
      <c r="H84" s="2" t="s">
        <v>7</v>
      </c>
      <c r="I84" s="2">
        <f t="shared" si="5"/>
        <v>1785000</v>
      </c>
    </row>
    <row r="85" spans="1:9" ht="13" x14ac:dyDescent="0.15">
      <c r="A85" s="2" t="s">
        <v>88</v>
      </c>
      <c r="B85" s="2" t="s">
        <v>113</v>
      </c>
      <c r="C85" s="2">
        <v>977112233</v>
      </c>
      <c r="D85" s="2">
        <v>500000</v>
      </c>
      <c r="E85" s="2" t="s">
        <v>9</v>
      </c>
      <c r="F85" s="2">
        <v>30000</v>
      </c>
      <c r="G85" s="2">
        <f t="shared" si="4"/>
        <v>25000</v>
      </c>
      <c r="H85" s="2" t="s">
        <v>10</v>
      </c>
      <c r="I85" s="2">
        <f t="shared" si="5"/>
        <v>445000</v>
      </c>
    </row>
    <row r="86" spans="1:9" ht="13" x14ac:dyDescent="0.15">
      <c r="A86" s="2" t="s">
        <v>90</v>
      </c>
      <c r="B86" s="2" t="s">
        <v>115</v>
      </c>
      <c r="C86" s="2">
        <v>933221100</v>
      </c>
      <c r="D86" s="2">
        <v>2000000</v>
      </c>
      <c r="F86" s="2">
        <v>30000</v>
      </c>
      <c r="G86" s="2">
        <f t="shared" si="4"/>
        <v>0</v>
      </c>
      <c r="H86" s="2" t="s">
        <v>12</v>
      </c>
      <c r="I86" s="2">
        <f t="shared" si="5"/>
        <v>1970000</v>
      </c>
    </row>
    <row r="87" spans="1:9" ht="13" x14ac:dyDescent="0.15">
      <c r="A87" s="2" t="s">
        <v>91</v>
      </c>
      <c r="B87" s="2" t="s">
        <v>116</v>
      </c>
      <c r="C87" s="2">
        <v>966445566</v>
      </c>
      <c r="D87" s="2">
        <v>500000</v>
      </c>
      <c r="E87" s="2" t="s">
        <v>9</v>
      </c>
      <c r="F87" s="2">
        <v>15000</v>
      </c>
      <c r="G87" s="2">
        <f t="shared" si="4"/>
        <v>25000</v>
      </c>
      <c r="H87" s="2" t="s">
        <v>7</v>
      </c>
      <c r="I87" s="2">
        <f t="shared" si="5"/>
        <v>460000</v>
      </c>
    </row>
    <row r="88" spans="1:9" ht="13" x14ac:dyDescent="0.15">
      <c r="A88" s="2" t="s">
        <v>92</v>
      </c>
      <c r="B88" s="2" t="s">
        <v>117</v>
      </c>
      <c r="C88" s="2">
        <v>922778899</v>
      </c>
      <c r="D88" s="2">
        <v>1500000</v>
      </c>
      <c r="E88" s="2" t="s">
        <v>6</v>
      </c>
      <c r="F88" s="2">
        <v>30000</v>
      </c>
      <c r="G88" s="2">
        <f t="shared" si="4"/>
        <v>150000</v>
      </c>
      <c r="H88" s="2" t="s">
        <v>7</v>
      </c>
      <c r="I88" s="2">
        <f t="shared" si="5"/>
        <v>1320000</v>
      </c>
    </row>
    <row r="89" spans="1:9" ht="13" x14ac:dyDescent="0.15">
      <c r="A89" s="2" t="s">
        <v>93</v>
      </c>
      <c r="B89" s="2" t="s">
        <v>118</v>
      </c>
      <c r="C89" s="2">
        <v>911002233</v>
      </c>
      <c r="D89" s="2">
        <v>2000000</v>
      </c>
      <c r="E89" s="2" t="s">
        <v>9</v>
      </c>
      <c r="F89" s="2">
        <v>15000</v>
      </c>
      <c r="G89" s="2">
        <f t="shared" si="4"/>
        <v>100000</v>
      </c>
      <c r="H89" s="2" t="s">
        <v>10</v>
      </c>
      <c r="I89" s="2">
        <f t="shared" si="5"/>
        <v>1885000</v>
      </c>
    </row>
    <row r="90" spans="1:9" ht="13" x14ac:dyDescent="0.15">
      <c r="A90" s="2" t="s">
        <v>95</v>
      </c>
      <c r="B90" s="2" t="s">
        <v>120</v>
      </c>
      <c r="C90" s="2">
        <v>900112233</v>
      </c>
      <c r="D90" s="2">
        <v>1500000</v>
      </c>
      <c r="E90" s="2" t="s">
        <v>6</v>
      </c>
      <c r="F90" s="2">
        <v>15000</v>
      </c>
      <c r="G90" s="2">
        <f t="shared" si="4"/>
        <v>150000</v>
      </c>
      <c r="H90" s="2" t="s">
        <v>12</v>
      </c>
      <c r="I90" s="2">
        <f t="shared" si="5"/>
        <v>1335000</v>
      </c>
    </row>
    <row r="91" spans="1:9" ht="13" x14ac:dyDescent="0.15">
      <c r="A91" s="2" t="s">
        <v>96</v>
      </c>
      <c r="B91" s="2" t="s">
        <v>121</v>
      </c>
      <c r="C91" s="2">
        <v>977443322</v>
      </c>
      <c r="D91" s="2">
        <v>2000000</v>
      </c>
      <c r="E91" s="2" t="s">
        <v>9</v>
      </c>
      <c r="F91" s="2">
        <v>30000</v>
      </c>
      <c r="G91" s="2">
        <f t="shared" si="4"/>
        <v>100000</v>
      </c>
      <c r="H91" s="2" t="s">
        <v>7</v>
      </c>
      <c r="I91" s="2">
        <f t="shared" si="5"/>
        <v>1870000</v>
      </c>
    </row>
    <row r="92" spans="1:9" ht="13" x14ac:dyDescent="0.15">
      <c r="A92" s="2" t="s">
        <v>97</v>
      </c>
      <c r="B92" s="2" t="s">
        <v>122</v>
      </c>
      <c r="C92" s="2">
        <v>944332211</v>
      </c>
      <c r="D92" s="2">
        <v>500000</v>
      </c>
      <c r="F92" s="2">
        <v>15000</v>
      </c>
      <c r="G92" s="2">
        <f t="shared" si="4"/>
        <v>0</v>
      </c>
      <c r="H92" s="2" t="s">
        <v>7</v>
      </c>
      <c r="I92" s="2">
        <f t="shared" si="5"/>
        <v>485000</v>
      </c>
    </row>
    <row r="93" spans="1:9" ht="13" x14ac:dyDescent="0.15">
      <c r="A93" s="2" t="s">
        <v>98</v>
      </c>
      <c r="B93" s="2" t="s">
        <v>123</v>
      </c>
      <c r="C93" s="2">
        <v>911223344</v>
      </c>
      <c r="D93" s="2">
        <v>1500000</v>
      </c>
      <c r="E93" s="2" t="s">
        <v>6</v>
      </c>
      <c r="F93" s="2">
        <v>30000</v>
      </c>
      <c r="G93" s="2">
        <f t="shared" si="4"/>
        <v>150000</v>
      </c>
      <c r="H93" s="2" t="s">
        <v>10</v>
      </c>
      <c r="I93" s="2">
        <f t="shared" si="5"/>
        <v>1320000</v>
      </c>
    </row>
    <row r="94" spans="1:9" ht="13" x14ac:dyDescent="0.15">
      <c r="A94" s="2" t="s">
        <v>100</v>
      </c>
      <c r="B94" s="2" t="s">
        <v>125</v>
      </c>
      <c r="C94" s="2">
        <v>966778899</v>
      </c>
      <c r="D94" s="2">
        <v>500000</v>
      </c>
      <c r="F94" s="2">
        <v>30000</v>
      </c>
      <c r="G94" s="2">
        <f t="shared" si="4"/>
        <v>0</v>
      </c>
      <c r="H94" s="2" t="s">
        <v>12</v>
      </c>
      <c r="I94" s="2">
        <f t="shared" si="5"/>
        <v>470000</v>
      </c>
    </row>
    <row r="95" spans="1:9" ht="13" x14ac:dyDescent="0.15">
      <c r="A95" s="2" t="s">
        <v>101</v>
      </c>
      <c r="B95" s="2" t="s">
        <v>126</v>
      </c>
      <c r="C95" s="2">
        <v>922334455</v>
      </c>
      <c r="D95" s="2">
        <v>1500000</v>
      </c>
      <c r="E95" s="2" t="s">
        <v>6</v>
      </c>
      <c r="F95" s="2">
        <v>15000</v>
      </c>
      <c r="G95" s="2">
        <f t="shared" si="4"/>
        <v>150000</v>
      </c>
      <c r="H95" s="2" t="s">
        <v>7</v>
      </c>
      <c r="I95" s="2">
        <f t="shared" si="5"/>
        <v>1335000</v>
      </c>
    </row>
    <row r="96" spans="1:9" ht="13" x14ac:dyDescent="0.15">
      <c r="A96" s="2" t="s">
        <v>102</v>
      </c>
      <c r="B96" s="2" t="s">
        <v>127</v>
      </c>
      <c r="C96" s="2">
        <v>988112233</v>
      </c>
      <c r="D96" s="2">
        <v>2000000</v>
      </c>
      <c r="E96" s="2" t="s">
        <v>9</v>
      </c>
      <c r="F96" s="2">
        <v>30000</v>
      </c>
      <c r="G96" s="2">
        <f t="shared" si="4"/>
        <v>100000</v>
      </c>
      <c r="H96" s="2" t="s">
        <v>7</v>
      </c>
      <c r="I96" s="2">
        <f t="shared" si="5"/>
        <v>1870000</v>
      </c>
    </row>
    <row r="97" spans="1:9" ht="13" x14ac:dyDescent="0.15">
      <c r="A97" s="2" t="s">
        <v>103</v>
      </c>
      <c r="B97" s="2" t="s">
        <v>128</v>
      </c>
      <c r="C97" s="2">
        <v>900334455</v>
      </c>
      <c r="D97" s="2">
        <v>500000</v>
      </c>
      <c r="E97" s="2" t="s">
        <v>6</v>
      </c>
      <c r="F97" s="2">
        <v>15000</v>
      </c>
      <c r="G97" s="2">
        <f t="shared" si="4"/>
        <v>50000</v>
      </c>
      <c r="H97" s="2" t="s">
        <v>10</v>
      </c>
      <c r="I97" s="2">
        <f t="shared" si="5"/>
        <v>435000</v>
      </c>
    </row>
    <row r="98" spans="1:9" ht="13" x14ac:dyDescent="0.15">
      <c r="A98" s="2" t="s">
        <v>105</v>
      </c>
      <c r="B98" s="2" t="s">
        <v>130</v>
      </c>
      <c r="C98" s="2">
        <v>944778899</v>
      </c>
      <c r="D98" s="2">
        <v>2000000</v>
      </c>
      <c r="E98" s="2" t="s">
        <v>9</v>
      </c>
      <c r="F98" s="2">
        <v>15000</v>
      </c>
      <c r="G98" s="2">
        <f t="shared" si="4"/>
        <v>100000</v>
      </c>
      <c r="H98" s="2" t="s">
        <v>12</v>
      </c>
      <c r="I98" s="2">
        <f t="shared" si="5"/>
        <v>1885000</v>
      </c>
    </row>
    <row r="99" spans="1:9" ht="13" x14ac:dyDescent="0.15">
      <c r="A99" s="2" t="s">
        <v>106</v>
      </c>
      <c r="B99" s="2" t="s">
        <v>131</v>
      </c>
      <c r="C99" s="2">
        <v>911556677</v>
      </c>
      <c r="D99" s="2">
        <v>500000</v>
      </c>
      <c r="E99" s="2" t="s">
        <v>6</v>
      </c>
      <c r="F99" s="2">
        <v>30000</v>
      </c>
      <c r="G99" s="2">
        <f t="shared" si="4"/>
        <v>50000</v>
      </c>
      <c r="H99" s="2" t="s">
        <v>7</v>
      </c>
      <c r="I99" s="2">
        <f t="shared" si="5"/>
        <v>420000</v>
      </c>
    </row>
    <row r="100" spans="1:9" ht="13" x14ac:dyDescent="0.15">
      <c r="A100" s="2" t="s">
        <v>107</v>
      </c>
      <c r="B100" s="2" t="s">
        <v>132</v>
      </c>
      <c r="C100" s="2">
        <v>933889900</v>
      </c>
      <c r="D100" s="2">
        <v>1500000</v>
      </c>
      <c r="F100" s="2">
        <v>15000</v>
      </c>
      <c r="G100" s="2">
        <f t="shared" si="4"/>
        <v>0</v>
      </c>
      <c r="H100" s="2" t="s">
        <v>7</v>
      </c>
      <c r="I100" s="2">
        <f t="shared" si="5"/>
        <v>1485000</v>
      </c>
    </row>
    <row r="101" spans="1:9" ht="13" x14ac:dyDescent="0.15">
      <c r="A101" s="2" t="s">
        <v>108</v>
      </c>
      <c r="B101" s="2" t="s">
        <v>133</v>
      </c>
      <c r="C101" s="2">
        <v>966112233</v>
      </c>
      <c r="D101" s="2">
        <v>2000000</v>
      </c>
      <c r="E101" s="2" t="s">
        <v>9</v>
      </c>
      <c r="F101" s="2">
        <v>30000</v>
      </c>
      <c r="G101" s="2">
        <f t="shared" si="4"/>
        <v>100000</v>
      </c>
      <c r="H101" s="2" t="s">
        <v>10</v>
      </c>
      <c r="I101" s="2">
        <f t="shared" si="5"/>
        <v>1870000</v>
      </c>
    </row>
    <row r="102" spans="1:9" ht="13" x14ac:dyDescent="0.15"/>
    <row r="103" spans="1:9" ht="13" x14ac:dyDescent="0.15"/>
    <row r="104" spans="1:9" ht="13" x14ac:dyDescent="0.15"/>
    <row r="105" spans="1:9" ht="13" x14ac:dyDescent="0.15"/>
    <row r="106" spans="1:9" ht="13" x14ac:dyDescent="0.15"/>
    <row r="107" spans="1:9" ht="13" x14ac:dyDescent="0.15"/>
    <row r="108" spans="1:9" ht="13" x14ac:dyDescent="0.15"/>
    <row r="109" spans="1:9" ht="13" x14ac:dyDescent="0.15"/>
    <row r="110" spans="1:9" ht="13" x14ac:dyDescent="0.15"/>
    <row r="111" spans="1:9" ht="13" x14ac:dyDescent="0.15"/>
    <row r="112" spans="1:9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</sheetData>
  <conditionalFormatting sqref="A2:A101">
    <cfRule type="duplicateValues" dxfId="2" priority="1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AE86-4343-9D4E-A3E8-8D8F73F0FEF8}">
  <dimension ref="A1:L175"/>
  <sheetViews>
    <sheetView topLeftCell="D1" zoomScale="171" workbookViewId="0">
      <selection activeCell="G4" sqref="G4"/>
    </sheetView>
  </sheetViews>
  <sheetFormatPr baseColWidth="10" defaultRowHeight="13" x14ac:dyDescent="0.15"/>
  <cols>
    <col min="1" max="1" width="8.83203125" bestFit="1" customWidth="1"/>
    <col min="2" max="2" width="12.33203125" bestFit="1" customWidth="1"/>
    <col min="3" max="3" width="14" customWidth="1"/>
    <col min="4" max="4" width="12.83203125" customWidth="1"/>
    <col min="5" max="6" width="8.6640625" customWidth="1"/>
    <col min="10" max="10" width="14" bestFit="1" customWidth="1"/>
  </cols>
  <sheetData>
    <row r="1" spans="1:12" x14ac:dyDescent="0.15">
      <c r="A1" s="4" t="s">
        <v>152</v>
      </c>
      <c r="B1" s="4" t="s">
        <v>153</v>
      </c>
      <c r="C1" s="4" t="s">
        <v>145</v>
      </c>
      <c r="D1" s="4" t="s">
        <v>146</v>
      </c>
      <c r="E1" s="4" t="s">
        <v>147</v>
      </c>
      <c r="F1" s="4" t="s">
        <v>4</v>
      </c>
      <c r="G1" s="4" t="s">
        <v>331</v>
      </c>
      <c r="H1" s="4" t="s">
        <v>332</v>
      </c>
      <c r="J1" s="3" t="s">
        <v>333</v>
      </c>
      <c r="K1" s="3" t="s">
        <v>334</v>
      </c>
      <c r="L1" s="3" t="s">
        <v>335</v>
      </c>
    </row>
    <row r="2" spans="1:12" x14ac:dyDescent="0.15">
      <c r="A2" s="3" t="s">
        <v>154</v>
      </c>
      <c r="B2" s="3" t="s">
        <v>155</v>
      </c>
      <c r="C2" s="3">
        <v>15000000</v>
      </c>
      <c r="D2" s="3">
        <v>22</v>
      </c>
      <c r="E2" s="3" t="s">
        <v>148</v>
      </c>
      <c r="F2" s="3" t="s">
        <v>149</v>
      </c>
      <c r="G2" s="3">
        <f t="shared" ref="G2:G33" si="0">IF(E2="A",C2*0.1,IF(E2="B",C2*0.05,0))</f>
        <v>1500000</v>
      </c>
      <c r="H2" s="3">
        <f t="shared" ref="H2:H33" si="1">(C2/22)*D2+G2</f>
        <v>16499999.999999998</v>
      </c>
      <c r="J2">
        <f>SUM(Table2[Tiền thưởng])</f>
        <v>347600000</v>
      </c>
      <c r="K2">
        <f>COUNTA(Table2[Mã NV])</f>
        <v>174</v>
      </c>
      <c r="L2">
        <f>COUNTIF(Table2[Rating],"A")/K2</f>
        <v>0.29310344827586204</v>
      </c>
    </row>
    <row r="3" spans="1:12" x14ac:dyDescent="0.15">
      <c r="A3" s="3" t="s">
        <v>156</v>
      </c>
      <c r="B3" s="3" t="s">
        <v>157</v>
      </c>
      <c r="C3" s="5">
        <v>125000000</v>
      </c>
      <c r="D3" s="3">
        <v>21</v>
      </c>
      <c r="E3" s="3" t="s">
        <v>150</v>
      </c>
      <c r="F3" s="3" t="s">
        <v>149</v>
      </c>
      <c r="G3" s="3">
        <f t="shared" si="0"/>
        <v>6250000</v>
      </c>
      <c r="H3" s="3">
        <f t="shared" si="1"/>
        <v>125568181.81818181</v>
      </c>
    </row>
    <row r="4" spans="1:12" x14ac:dyDescent="0.15">
      <c r="A4" s="3" t="s">
        <v>158</v>
      </c>
      <c r="B4" s="3" t="s">
        <v>159</v>
      </c>
      <c r="C4" s="3">
        <v>20000000</v>
      </c>
      <c r="D4" s="3">
        <v>20</v>
      </c>
      <c r="E4" s="3" t="s">
        <v>151</v>
      </c>
      <c r="F4" s="3" t="s">
        <v>149</v>
      </c>
      <c r="G4" s="3">
        <f t="shared" si="0"/>
        <v>0</v>
      </c>
      <c r="H4" s="3">
        <f t="shared" si="1"/>
        <v>18181818.18181818</v>
      </c>
    </row>
    <row r="5" spans="1:12" x14ac:dyDescent="0.15">
      <c r="A5" s="3" t="s">
        <v>160</v>
      </c>
      <c r="B5" s="3" t="s">
        <v>155</v>
      </c>
      <c r="C5" s="3">
        <v>8000000</v>
      </c>
      <c r="D5" s="3">
        <v>22</v>
      </c>
      <c r="E5" s="3" t="s">
        <v>148</v>
      </c>
      <c r="F5" s="3" t="s">
        <v>149</v>
      </c>
      <c r="G5" s="3">
        <f t="shared" si="0"/>
        <v>800000</v>
      </c>
      <c r="H5" s="3">
        <f t="shared" si="1"/>
        <v>8800000</v>
      </c>
    </row>
    <row r="6" spans="1:12" x14ac:dyDescent="0.15">
      <c r="A6" s="3" t="s">
        <v>161</v>
      </c>
      <c r="B6" s="3" t="s">
        <v>157</v>
      </c>
      <c r="C6" s="3">
        <v>15000000</v>
      </c>
      <c r="D6" s="3">
        <v>22</v>
      </c>
      <c r="E6" s="3"/>
      <c r="F6" s="3" t="s">
        <v>149</v>
      </c>
      <c r="G6" s="3">
        <f t="shared" si="0"/>
        <v>0</v>
      </c>
      <c r="H6" s="3">
        <f t="shared" si="1"/>
        <v>14999999.999999998</v>
      </c>
    </row>
    <row r="7" spans="1:12" x14ac:dyDescent="0.15">
      <c r="A7" s="3" t="s">
        <v>162</v>
      </c>
      <c r="B7" s="3" t="s">
        <v>159</v>
      </c>
      <c r="C7" s="5">
        <v>125000000</v>
      </c>
      <c r="D7" s="3">
        <v>21</v>
      </c>
      <c r="E7" s="3" t="s">
        <v>150</v>
      </c>
      <c r="F7" s="3" t="s">
        <v>149</v>
      </c>
      <c r="G7" s="3">
        <f t="shared" si="0"/>
        <v>6250000</v>
      </c>
      <c r="H7" s="3">
        <f t="shared" si="1"/>
        <v>125568181.81818181</v>
      </c>
    </row>
    <row r="8" spans="1:12" x14ac:dyDescent="0.15">
      <c r="A8" s="3" t="s">
        <v>163</v>
      </c>
      <c r="B8" s="3" t="s">
        <v>155</v>
      </c>
      <c r="C8" s="3">
        <v>20000000</v>
      </c>
      <c r="D8" s="3">
        <v>20</v>
      </c>
      <c r="E8" s="3" t="s">
        <v>148</v>
      </c>
      <c r="F8" s="3" t="s">
        <v>149</v>
      </c>
      <c r="G8" s="3">
        <f t="shared" si="0"/>
        <v>2000000</v>
      </c>
      <c r="H8" s="3">
        <f t="shared" si="1"/>
        <v>20181818.18181818</v>
      </c>
    </row>
    <row r="9" spans="1:12" x14ac:dyDescent="0.15">
      <c r="A9" s="3" t="s">
        <v>164</v>
      </c>
      <c r="B9" s="3" t="s">
        <v>157</v>
      </c>
      <c r="C9" s="3">
        <v>8000000</v>
      </c>
      <c r="D9" s="3">
        <v>22</v>
      </c>
      <c r="E9" s="3" t="s">
        <v>151</v>
      </c>
      <c r="F9" s="3" t="s">
        <v>149</v>
      </c>
      <c r="G9" s="3">
        <f t="shared" si="0"/>
        <v>0</v>
      </c>
      <c r="H9" s="3">
        <f t="shared" si="1"/>
        <v>8000000</v>
      </c>
    </row>
    <row r="10" spans="1:12" x14ac:dyDescent="0.15">
      <c r="A10" s="3" t="s">
        <v>165</v>
      </c>
      <c r="B10" s="3" t="s">
        <v>159</v>
      </c>
      <c r="C10" s="3">
        <v>15000000</v>
      </c>
      <c r="D10" s="3">
        <v>22</v>
      </c>
      <c r="E10" s="3" t="s">
        <v>150</v>
      </c>
      <c r="F10" s="3" t="s">
        <v>149</v>
      </c>
      <c r="G10" s="3">
        <f t="shared" si="0"/>
        <v>750000</v>
      </c>
      <c r="H10" s="3">
        <f t="shared" si="1"/>
        <v>15749999.999999998</v>
      </c>
    </row>
    <row r="11" spans="1:12" x14ac:dyDescent="0.15">
      <c r="A11" s="3" t="s">
        <v>166</v>
      </c>
      <c r="B11" s="3" t="s">
        <v>155</v>
      </c>
      <c r="C11" s="5">
        <v>125000000</v>
      </c>
      <c r="D11" s="3">
        <v>21</v>
      </c>
      <c r="E11" s="3"/>
      <c r="F11" s="3" t="s">
        <v>149</v>
      </c>
      <c r="G11" s="3">
        <f t="shared" si="0"/>
        <v>0</v>
      </c>
      <c r="H11" s="3">
        <f t="shared" si="1"/>
        <v>119318181.81818181</v>
      </c>
    </row>
    <row r="12" spans="1:12" x14ac:dyDescent="0.15">
      <c r="A12" s="3" t="s">
        <v>167</v>
      </c>
      <c r="B12" s="3" t="s">
        <v>157</v>
      </c>
      <c r="C12" s="3">
        <v>20000000</v>
      </c>
      <c r="D12" s="3">
        <v>20</v>
      </c>
      <c r="E12" s="3" t="s">
        <v>148</v>
      </c>
      <c r="F12" s="3" t="s">
        <v>149</v>
      </c>
      <c r="G12" s="3">
        <f t="shared" si="0"/>
        <v>2000000</v>
      </c>
      <c r="H12" s="3">
        <f t="shared" si="1"/>
        <v>20181818.18181818</v>
      </c>
    </row>
    <row r="13" spans="1:12" x14ac:dyDescent="0.15">
      <c r="A13" s="3" t="s">
        <v>168</v>
      </c>
      <c r="B13" s="3" t="s">
        <v>159</v>
      </c>
      <c r="C13" s="3">
        <v>8000000</v>
      </c>
      <c r="D13" s="3">
        <v>22</v>
      </c>
      <c r="E13" s="3" t="s">
        <v>150</v>
      </c>
      <c r="F13" s="3" t="s">
        <v>149</v>
      </c>
      <c r="G13" s="3">
        <f t="shared" si="0"/>
        <v>400000</v>
      </c>
      <c r="H13" s="3">
        <f t="shared" si="1"/>
        <v>8400000</v>
      </c>
    </row>
    <row r="14" spans="1:12" x14ac:dyDescent="0.15">
      <c r="A14" s="3" t="s">
        <v>169</v>
      </c>
      <c r="B14" s="3" t="s">
        <v>155</v>
      </c>
      <c r="C14" s="3">
        <v>15000000</v>
      </c>
      <c r="D14" s="3">
        <v>22</v>
      </c>
      <c r="E14" s="3" t="s">
        <v>151</v>
      </c>
      <c r="F14" s="3" t="s">
        <v>149</v>
      </c>
      <c r="G14" s="3">
        <f t="shared" si="0"/>
        <v>0</v>
      </c>
      <c r="H14" s="3">
        <f t="shared" si="1"/>
        <v>14999999.999999998</v>
      </c>
    </row>
    <row r="15" spans="1:12" x14ac:dyDescent="0.15">
      <c r="A15" s="3" t="s">
        <v>170</v>
      </c>
      <c r="B15" s="3" t="s">
        <v>157</v>
      </c>
      <c r="C15" s="5">
        <v>125000000</v>
      </c>
      <c r="D15" s="3">
        <v>21</v>
      </c>
      <c r="E15" s="3" t="s">
        <v>148</v>
      </c>
      <c r="F15" s="3" t="s">
        <v>149</v>
      </c>
      <c r="G15" s="3">
        <f t="shared" si="0"/>
        <v>12500000</v>
      </c>
      <c r="H15" s="3">
        <f t="shared" si="1"/>
        <v>131818181.81818181</v>
      </c>
    </row>
    <row r="16" spans="1:12" x14ac:dyDescent="0.15">
      <c r="A16" s="3" t="s">
        <v>171</v>
      </c>
      <c r="B16" s="3" t="s">
        <v>159</v>
      </c>
      <c r="C16" s="3">
        <v>20000000</v>
      </c>
      <c r="D16" s="3">
        <v>20</v>
      </c>
      <c r="E16" s="3" t="s">
        <v>150</v>
      </c>
      <c r="F16" s="3" t="s">
        <v>149</v>
      </c>
      <c r="G16" s="3">
        <f t="shared" si="0"/>
        <v>1000000</v>
      </c>
      <c r="H16" s="3">
        <f t="shared" si="1"/>
        <v>19181818.18181818</v>
      </c>
    </row>
    <row r="17" spans="1:8" x14ac:dyDescent="0.15">
      <c r="A17" s="3" t="s">
        <v>172</v>
      </c>
      <c r="B17" s="3" t="s">
        <v>155</v>
      </c>
      <c r="C17" s="3">
        <v>8000000</v>
      </c>
      <c r="D17" s="3">
        <v>22</v>
      </c>
      <c r="E17" s="3"/>
      <c r="F17" s="3" t="s">
        <v>149</v>
      </c>
      <c r="G17" s="3">
        <f t="shared" si="0"/>
        <v>0</v>
      </c>
      <c r="H17" s="3">
        <f t="shared" si="1"/>
        <v>8000000</v>
      </c>
    </row>
    <row r="18" spans="1:8" x14ac:dyDescent="0.15">
      <c r="A18" s="3" t="s">
        <v>173</v>
      </c>
      <c r="B18" s="3" t="s">
        <v>157</v>
      </c>
      <c r="C18" s="3">
        <v>15000000</v>
      </c>
      <c r="D18" s="3">
        <v>22</v>
      </c>
      <c r="E18" s="3" t="s">
        <v>151</v>
      </c>
      <c r="F18" s="3" t="s">
        <v>149</v>
      </c>
      <c r="G18" s="3">
        <f t="shared" si="0"/>
        <v>0</v>
      </c>
      <c r="H18" s="3">
        <f t="shared" si="1"/>
        <v>14999999.999999998</v>
      </c>
    </row>
    <row r="19" spans="1:8" x14ac:dyDescent="0.15">
      <c r="A19" s="3" t="s">
        <v>174</v>
      </c>
      <c r="B19" s="3" t="s">
        <v>159</v>
      </c>
      <c r="C19" s="5">
        <v>125000000</v>
      </c>
      <c r="D19" s="3">
        <v>21</v>
      </c>
      <c r="E19" s="3" t="s">
        <v>148</v>
      </c>
      <c r="F19" s="3" t="s">
        <v>149</v>
      </c>
      <c r="G19" s="3">
        <f t="shared" si="0"/>
        <v>12500000</v>
      </c>
      <c r="H19" s="3">
        <f t="shared" si="1"/>
        <v>131818181.81818181</v>
      </c>
    </row>
    <row r="20" spans="1:8" x14ac:dyDescent="0.15">
      <c r="A20" s="3" t="s">
        <v>175</v>
      </c>
      <c r="B20" s="3" t="s">
        <v>155</v>
      </c>
      <c r="C20" s="3">
        <v>20000000</v>
      </c>
      <c r="D20" s="3">
        <v>20</v>
      </c>
      <c r="E20" s="3" t="s">
        <v>150</v>
      </c>
      <c r="F20" s="3" t="s">
        <v>149</v>
      </c>
      <c r="G20" s="3">
        <f t="shared" si="0"/>
        <v>1000000</v>
      </c>
      <c r="H20" s="3">
        <f t="shared" si="1"/>
        <v>19181818.18181818</v>
      </c>
    </row>
    <row r="21" spans="1:8" x14ac:dyDescent="0.15">
      <c r="A21" s="3" t="s">
        <v>176</v>
      </c>
      <c r="B21" s="3" t="s">
        <v>157</v>
      </c>
      <c r="C21" s="3">
        <v>8000000</v>
      </c>
      <c r="D21" s="3">
        <v>22</v>
      </c>
      <c r="E21" s="3" t="s">
        <v>151</v>
      </c>
      <c r="F21" s="3" t="s">
        <v>149</v>
      </c>
      <c r="G21" s="3">
        <f t="shared" si="0"/>
        <v>0</v>
      </c>
      <c r="H21" s="3">
        <f t="shared" si="1"/>
        <v>8000000</v>
      </c>
    </row>
    <row r="22" spans="1:8" x14ac:dyDescent="0.15">
      <c r="A22" s="3" t="s">
        <v>177</v>
      </c>
      <c r="B22" s="3" t="s">
        <v>159</v>
      </c>
      <c r="C22" s="3">
        <v>15000000</v>
      </c>
      <c r="D22" s="3">
        <v>22</v>
      </c>
      <c r="E22" s="3" t="s">
        <v>148</v>
      </c>
      <c r="F22" s="3" t="s">
        <v>149</v>
      </c>
      <c r="G22" s="3">
        <f t="shared" si="0"/>
        <v>1500000</v>
      </c>
      <c r="H22" s="3">
        <f t="shared" si="1"/>
        <v>16499999.999999998</v>
      </c>
    </row>
    <row r="23" spans="1:8" x14ac:dyDescent="0.15">
      <c r="A23" s="3" t="s">
        <v>178</v>
      </c>
      <c r="B23" s="3" t="s">
        <v>155</v>
      </c>
      <c r="C23" s="5">
        <v>125000000</v>
      </c>
      <c r="D23" s="3">
        <v>21</v>
      </c>
      <c r="E23" s="3" t="s">
        <v>150</v>
      </c>
      <c r="F23" s="3" t="s">
        <v>149</v>
      </c>
      <c r="G23" s="3">
        <f t="shared" si="0"/>
        <v>6250000</v>
      </c>
      <c r="H23" s="3">
        <f t="shared" si="1"/>
        <v>125568181.81818181</v>
      </c>
    </row>
    <row r="24" spans="1:8" x14ac:dyDescent="0.15">
      <c r="A24" s="3" t="s">
        <v>179</v>
      </c>
      <c r="B24" s="3" t="s">
        <v>157</v>
      </c>
      <c r="C24" s="3">
        <v>20000000</v>
      </c>
      <c r="D24" s="3">
        <v>20</v>
      </c>
      <c r="E24" s="3"/>
      <c r="F24" s="3" t="s">
        <v>149</v>
      </c>
      <c r="G24" s="3">
        <f t="shared" si="0"/>
        <v>0</v>
      </c>
      <c r="H24" s="3">
        <f t="shared" si="1"/>
        <v>18181818.18181818</v>
      </c>
    </row>
    <row r="25" spans="1:8" x14ac:dyDescent="0.15">
      <c r="A25" s="3" t="s">
        <v>180</v>
      </c>
      <c r="B25" s="3" t="s">
        <v>159</v>
      </c>
      <c r="C25" s="3">
        <v>8000000</v>
      </c>
      <c r="D25" s="3">
        <v>22</v>
      </c>
      <c r="E25" s="3" t="s">
        <v>151</v>
      </c>
      <c r="F25" s="3" t="s">
        <v>149</v>
      </c>
      <c r="G25" s="3">
        <f t="shared" si="0"/>
        <v>0</v>
      </c>
      <c r="H25" s="3">
        <f t="shared" si="1"/>
        <v>8000000</v>
      </c>
    </row>
    <row r="26" spans="1:8" x14ac:dyDescent="0.15">
      <c r="A26" s="3" t="s">
        <v>181</v>
      </c>
      <c r="B26" s="3" t="s">
        <v>155</v>
      </c>
      <c r="C26" s="3">
        <v>15000000</v>
      </c>
      <c r="D26" s="3">
        <v>22</v>
      </c>
      <c r="E26" s="3" t="s">
        <v>148</v>
      </c>
      <c r="F26" s="3" t="s">
        <v>149</v>
      </c>
      <c r="G26" s="3">
        <f t="shared" si="0"/>
        <v>1500000</v>
      </c>
      <c r="H26" s="3">
        <f t="shared" si="1"/>
        <v>16499999.999999998</v>
      </c>
    </row>
    <row r="27" spans="1:8" x14ac:dyDescent="0.15">
      <c r="A27" s="3" t="s">
        <v>182</v>
      </c>
      <c r="B27" s="3" t="s">
        <v>157</v>
      </c>
      <c r="C27" s="5">
        <v>125000000</v>
      </c>
      <c r="D27" s="3">
        <v>21</v>
      </c>
      <c r="E27" s="3" t="s">
        <v>150</v>
      </c>
      <c r="F27" s="3" t="s">
        <v>149</v>
      </c>
      <c r="G27" s="3">
        <f t="shared" si="0"/>
        <v>6250000</v>
      </c>
      <c r="H27" s="3">
        <f t="shared" si="1"/>
        <v>125568181.81818181</v>
      </c>
    </row>
    <row r="28" spans="1:8" x14ac:dyDescent="0.15">
      <c r="A28" s="3" t="s">
        <v>183</v>
      </c>
      <c r="B28" s="3" t="s">
        <v>159</v>
      </c>
      <c r="C28" s="3">
        <v>20000000</v>
      </c>
      <c r="D28" s="3">
        <v>20</v>
      </c>
      <c r="E28" s="3" t="s">
        <v>151</v>
      </c>
      <c r="F28" s="3" t="s">
        <v>149</v>
      </c>
      <c r="G28" s="3">
        <f t="shared" si="0"/>
        <v>0</v>
      </c>
      <c r="H28" s="3">
        <f t="shared" si="1"/>
        <v>18181818.18181818</v>
      </c>
    </row>
    <row r="29" spans="1:8" x14ac:dyDescent="0.15">
      <c r="A29" s="3" t="s">
        <v>184</v>
      </c>
      <c r="B29" s="3" t="s">
        <v>155</v>
      </c>
      <c r="C29" s="3">
        <v>8000000</v>
      </c>
      <c r="D29" s="3">
        <v>22</v>
      </c>
      <c r="E29" s="3" t="s">
        <v>148</v>
      </c>
      <c r="F29" s="3" t="s">
        <v>149</v>
      </c>
      <c r="G29" s="3">
        <f t="shared" si="0"/>
        <v>800000</v>
      </c>
      <c r="H29" s="3">
        <f t="shared" si="1"/>
        <v>8800000</v>
      </c>
    </row>
    <row r="30" spans="1:8" x14ac:dyDescent="0.15">
      <c r="A30" s="3" t="s">
        <v>185</v>
      </c>
      <c r="B30" s="3" t="s">
        <v>157</v>
      </c>
      <c r="C30" s="3">
        <v>15000000</v>
      </c>
      <c r="D30" s="3">
        <v>22</v>
      </c>
      <c r="E30" s="3" t="s">
        <v>150</v>
      </c>
      <c r="F30" s="3" t="s">
        <v>149</v>
      </c>
      <c r="G30" s="3">
        <f t="shared" si="0"/>
        <v>750000</v>
      </c>
      <c r="H30" s="3">
        <f t="shared" si="1"/>
        <v>15749999.999999998</v>
      </c>
    </row>
    <row r="31" spans="1:8" x14ac:dyDescent="0.15">
      <c r="A31" s="3" t="s">
        <v>186</v>
      </c>
      <c r="B31" s="3" t="s">
        <v>159</v>
      </c>
      <c r="C31" s="5">
        <v>125000000</v>
      </c>
      <c r="D31" s="3">
        <v>21</v>
      </c>
      <c r="E31" s="3"/>
      <c r="F31" s="3" t="s">
        <v>149</v>
      </c>
      <c r="G31" s="3">
        <f t="shared" si="0"/>
        <v>0</v>
      </c>
      <c r="H31" s="3">
        <f t="shared" si="1"/>
        <v>119318181.81818181</v>
      </c>
    </row>
    <row r="32" spans="1:8" x14ac:dyDescent="0.15">
      <c r="A32" s="3" t="s">
        <v>187</v>
      </c>
      <c r="B32" s="3" t="s">
        <v>155</v>
      </c>
      <c r="C32" s="3">
        <v>20000000</v>
      </c>
      <c r="D32" s="3">
        <v>20</v>
      </c>
      <c r="E32" s="3" t="s">
        <v>151</v>
      </c>
      <c r="F32" s="3" t="s">
        <v>149</v>
      </c>
      <c r="G32" s="3">
        <f t="shared" si="0"/>
        <v>0</v>
      </c>
      <c r="H32" s="3">
        <f t="shared" si="1"/>
        <v>18181818.18181818</v>
      </c>
    </row>
    <row r="33" spans="1:8" x14ac:dyDescent="0.15">
      <c r="A33" s="3" t="s">
        <v>188</v>
      </c>
      <c r="B33" s="3" t="s">
        <v>157</v>
      </c>
      <c r="C33" s="3">
        <v>8000000</v>
      </c>
      <c r="D33" s="3">
        <v>22</v>
      </c>
      <c r="E33" s="3" t="s">
        <v>148</v>
      </c>
      <c r="F33" s="3" t="s">
        <v>149</v>
      </c>
      <c r="G33" s="3">
        <f t="shared" si="0"/>
        <v>800000</v>
      </c>
      <c r="H33" s="3">
        <f t="shared" si="1"/>
        <v>8800000</v>
      </c>
    </row>
    <row r="34" spans="1:8" x14ac:dyDescent="0.15">
      <c r="A34" s="3" t="s">
        <v>189</v>
      </c>
      <c r="B34" s="3" t="s">
        <v>159</v>
      </c>
      <c r="C34" s="3">
        <v>15000000</v>
      </c>
      <c r="D34" s="3">
        <v>22</v>
      </c>
      <c r="E34" s="3" t="s">
        <v>150</v>
      </c>
      <c r="F34" s="3" t="s">
        <v>149</v>
      </c>
      <c r="G34" s="3">
        <f t="shared" ref="G34:G65" si="2">IF(E34="A",C34*0.1,IF(E34="B",C34*0.05,0))</f>
        <v>750000</v>
      </c>
      <c r="H34" s="3">
        <f t="shared" ref="H34:H65" si="3">(C34/22)*D34+G34</f>
        <v>15749999.999999998</v>
      </c>
    </row>
    <row r="35" spans="1:8" x14ac:dyDescent="0.15">
      <c r="A35" s="3" t="s">
        <v>190</v>
      </c>
      <c r="B35" s="3" t="s">
        <v>155</v>
      </c>
      <c r="C35" s="5">
        <v>125000000</v>
      </c>
      <c r="D35" s="3">
        <v>21</v>
      </c>
      <c r="E35" s="3" t="s">
        <v>151</v>
      </c>
      <c r="F35" s="3" t="s">
        <v>149</v>
      </c>
      <c r="G35" s="3">
        <f t="shared" si="2"/>
        <v>0</v>
      </c>
      <c r="H35" s="3">
        <f t="shared" si="3"/>
        <v>119318181.81818181</v>
      </c>
    </row>
    <row r="36" spans="1:8" x14ac:dyDescent="0.15">
      <c r="A36" s="3" t="s">
        <v>191</v>
      </c>
      <c r="B36" s="3" t="s">
        <v>157</v>
      </c>
      <c r="C36" s="3">
        <v>20000000</v>
      </c>
      <c r="D36" s="3">
        <v>20</v>
      </c>
      <c r="E36" s="3" t="s">
        <v>148</v>
      </c>
      <c r="F36" s="3" t="s">
        <v>149</v>
      </c>
      <c r="G36" s="3">
        <f t="shared" si="2"/>
        <v>2000000</v>
      </c>
      <c r="H36" s="3">
        <f t="shared" si="3"/>
        <v>20181818.18181818</v>
      </c>
    </row>
    <row r="37" spans="1:8" x14ac:dyDescent="0.15">
      <c r="A37" s="3" t="s">
        <v>192</v>
      </c>
      <c r="B37" s="3" t="s">
        <v>159</v>
      </c>
      <c r="C37" s="3">
        <v>8000000</v>
      </c>
      <c r="D37" s="3">
        <v>22</v>
      </c>
      <c r="E37" s="3" t="s">
        <v>150</v>
      </c>
      <c r="F37" s="3" t="s">
        <v>149</v>
      </c>
      <c r="G37" s="3">
        <f t="shared" si="2"/>
        <v>400000</v>
      </c>
      <c r="H37" s="3">
        <f t="shared" si="3"/>
        <v>8400000</v>
      </c>
    </row>
    <row r="38" spans="1:8" x14ac:dyDescent="0.15">
      <c r="A38" s="3" t="s">
        <v>193</v>
      </c>
      <c r="B38" s="3" t="s">
        <v>155</v>
      </c>
      <c r="C38" s="3">
        <v>15000000</v>
      </c>
      <c r="D38" s="3">
        <v>22</v>
      </c>
      <c r="E38" s="3"/>
      <c r="F38" s="3" t="s">
        <v>149</v>
      </c>
      <c r="G38" s="3">
        <f t="shared" si="2"/>
        <v>0</v>
      </c>
      <c r="H38" s="3">
        <f t="shared" si="3"/>
        <v>14999999.999999998</v>
      </c>
    </row>
    <row r="39" spans="1:8" x14ac:dyDescent="0.15">
      <c r="A39" s="3" t="s">
        <v>194</v>
      </c>
      <c r="B39" s="3" t="s">
        <v>157</v>
      </c>
      <c r="C39" s="5">
        <v>125000000</v>
      </c>
      <c r="D39" s="3">
        <v>21</v>
      </c>
      <c r="E39" s="3" t="s">
        <v>151</v>
      </c>
      <c r="F39" s="3" t="s">
        <v>149</v>
      </c>
      <c r="G39" s="3">
        <f t="shared" si="2"/>
        <v>0</v>
      </c>
      <c r="H39" s="3">
        <f t="shared" si="3"/>
        <v>119318181.81818181</v>
      </c>
    </row>
    <row r="40" spans="1:8" x14ac:dyDescent="0.15">
      <c r="A40" s="3" t="s">
        <v>195</v>
      </c>
      <c r="B40" s="3" t="s">
        <v>159</v>
      </c>
      <c r="C40" s="3">
        <v>20000000</v>
      </c>
      <c r="D40" s="3">
        <v>20</v>
      </c>
      <c r="E40" s="3" t="s">
        <v>148</v>
      </c>
      <c r="F40" s="3" t="s">
        <v>149</v>
      </c>
      <c r="G40" s="3">
        <f t="shared" si="2"/>
        <v>2000000</v>
      </c>
      <c r="H40" s="3">
        <f t="shared" si="3"/>
        <v>20181818.18181818</v>
      </c>
    </row>
    <row r="41" spans="1:8" x14ac:dyDescent="0.15">
      <c r="A41" s="3" t="s">
        <v>196</v>
      </c>
      <c r="B41" s="3" t="s">
        <v>155</v>
      </c>
      <c r="C41" s="3">
        <v>8000000</v>
      </c>
      <c r="D41" s="3">
        <v>22</v>
      </c>
      <c r="E41" s="3" t="s">
        <v>150</v>
      </c>
      <c r="F41" s="3" t="s">
        <v>149</v>
      </c>
      <c r="G41" s="3">
        <f t="shared" si="2"/>
        <v>400000</v>
      </c>
      <c r="H41" s="3">
        <f t="shared" si="3"/>
        <v>8400000</v>
      </c>
    </row>
    <row r="42" spans="1:8" x14ac:dyDescent="0.15">
      <c r="A42" s="3" t="s">
        <v>197</v>
      </c>
      <c r="B42" s="3" t="s">
        <v>157</v>
      </c>
      <c r="C42" s="3">
        <v>15000000</v>
      </c>
      <c r="D42" s="3">
        <v>22</v>
      </c>
      <c r="E42" s="3" t="s">
        <v>151</v>
      </c>
      <c r="F42" s="3" t="s">
        <v>149</v>
      </c>
      <c r="G42" s="3">
        <f t="shared" si="2"/>
        <v>0</v>
      </c>
      <c r="H42" s="3">
        <f t="shared" si="3"/>
        <v>14999999.999999998</v>
      </c>
    </row>
    <row r="43" spans="1:8" x14ac:dyDescent="0.15">
      <c r="A43" s="3" t="s">
        <v>198</v>
      </c>
      <c r="B43" s="3" t="s">
        <v>159</v>
      </c>
      <c r="C43" s="5">
        <v>125000000</v>
      </c>
      <c r="D43" s="3">
        <v>21</v>
      </c>
      <c r="E43" s="3" t="s">
        <v>148</v>
      </c>
      <c r="F43" s="3" t="s">
        <v>149</v>
      </c>
      <c r="G43" s="3">
        <f t="shared" si="2"/>
        <v>12500000</v>
      </c>
      <c r="H43" s="3">
        <f t="shared" si="3"/>
        <v>131818181.81818181</v>
      </c>
    </row>
    <row r="44" spans="1:8" x14ac:dyDescent="0.15">
      <c r="A44" s="3" t="s">
        <v>199</v>
      </c>
      <c r="B44" s="3" t="s">
        <v>155</v>
      </c>
      <c r="C44" s="3">
        <v>20000000</v>
      </c>
      <c r="D44" s="3">
        <v>20</v>
      </c>
      <c r="E44" s="3" t="s">
        <v>150</v>
      </c>
      <c r="F44" s="3" t="s">
        <v>149</v>
      </c>
      <c r="G44" s="3">
        <f t="shared" si="2"/>
        <v>1000000</v>
      </c>
      <c r="H44" s="3">
        <f t="shared" si="3"/>
        <v>19181818.18181818</v>
      </c>
    </row>
    <row r="45" spans="1:8" x14ac:dyDescent="0.15">
      <c r="A45" s="3" t="s">
        <v>200</v>
      </c>
      <c r="B45" s="3" t="s">
        <v>157</v>
      </c>
      <c r="C45" s="3">
        <v>8000000</v>
      </c>
      <c r="D45" s="3">
        <v>22</v>
      </c>
      <c r="E45" s="3"/>
      <c r="F45" s="3" t="s">
        <v>149</v>
      </c>
      <c r="G45" s="3">
        <f t="shared" si="2"/>
        <v>0</v>
      </c>
      <c r="H45" s="3">
        <f t="shared" si="3"/>
        <v>8000000</v>
      </c>
    </row>
    <row r="46" spans="1:8" x14ac:dyDescent="0.15">
      <c r="A46" s="3" t="s">
        <v>201</v>
      </c>
      <c r="B46" s="3" t="s">
        <v>159</v>
      </c>
      <c r="C46" s="3">
        <v>15000000</v>
      </c>
      <c r="D46" s="3">
        <v>22</v>
      </c>
      <c r="E46" s="3" t="s">
        <v>151</v>
      </c>
      <c r="F46" s="3" t="s">
        <v>149</v>
      </c>
      <c r="G46" s="3">
        <f t="shared" si="2"/>
        <v>0</v>
      </c>
      <c r="H46" s="3">
        <f t="shared" si="3"/>
        <v>14999999.999999998</v>
      </c>
    </row>
    <row r="47" spans="1:8" x14ac:dyDescent="0.15">
      <c r="A47" s="3" t="s">
        <v>202</v>
      </c>
      <c r="B47" s="3" t="s">
        <v>155</v>
      </c>
      <c r="C47" s="5">
        <v>125000000</v>
      </c>
      <c r="D47" s="3">
        <v>21</v>
      </c>
      <c r="E47" s="3" t="s">
        <v>148</v>
      </c>
      <c r="F47" s="3" t="s">
        <v>149</v>
      </c>
      <c r="G47" s="3">
        <f t="shared" si="2"/>
        <v>12500000</v>
      </c>
      <c r="H47" s="3">
        <f t="shared" si="3"/>
        <v>131818181.81818181</v>
      </c>
    </row>
    <row r="48" spans="1:8" x14ac:dyDescent="0.15">
      <c r="A48" s="3" t="s">
        <v>203</v>
      </c>
      <c r="B48" s="3" t="s">
        <v>157</v>
      </c>
      <c r="C48" s="3">
        <v>20000000</v>
      </c>
      <c r="D48" s="3">
        <v>20</v>
      </c>
      <c r="E48" s="3" t="s">
        <v>150</v>
      </c>
      <c r="F48" s="3" t="s">
        <v>149</v>
      </c>
      <c r="G48" s="3">
        <f t="shared" si="2"/>
        <v>1000000</v>
      </c>
      <c r="H48" s="3">
        <f t="shared" si="3"/>
        <v>19181818.18181818</v>
      </c>
    </row>
    <row r="49" spans="1:8" x14ac:dyDescent="0.15">
      <c r="A49" s="3" t="s">
        <v>204</v>
      </c>
      <c r="B49" s="3" t="s">
        <v>159</v>
      </c>
      <c r="C49" s="3">
        <v>8000000</v>
      </c>
      <c r="D49" s="3">
        <v>22</v>
      </c>
      <c r="E49" s="3" t="s">
        <v>151</v>
      </c>
      <c r="F49" s="3" t="s">
        <v>149</v>
      </c>
      <c r="G49" s="3">
        <f t="shared" si="2"/>
        <v>0</v>
      </c>
      <c r="H49" s="3">
        <f t="shared" si="3"/>
        <v>8000000</v>
      </c>
    </row>
    <row r="50" spans="1:8" x14ac:dyDescent="0.15">
      <c r="A50" s="3" t="s">
        <v>205</v>
      </c>
      <c r="B50" s="3" t="s">
        <v>155</v>
      </c>
      <c r="C50" s="3">
        <v>15000000</v>
      </c>
      <c r="D50" s="3">
        <v>22</v>
      </c>
      <c r="E50" s="3" t="s">
        <v>148</v>
      </c>
      <c r="F50" s="3" t="s">
        <v>149</v>
      </c>
      <c r="G50" s="3">
        <f t="shared" si="2"/>
        <v>1500000</v>
      </c>
      <c r="H50" s="3">
        <f t="shared" si="3"/>
        <v>16499999.999999998</v>
      </c>
    </row>
    <row r="51" spans="1:8" x14ac:dyDescent="0.15">
      <c r="A51" s="3" t="s">
        <v>206</v>
      </c>
      <c r="B51" s="3" t="s">
        <v>157</v>
      </c>
      <c r="C51" s="5">
        <v>125000000</v>
      </c>
      <c r="D51" s="3">
        <v>21</v>
      </c>
      <c r="E51" s="3" t="s">
        <v>150</v>
      </c>
      <c r="F51" s="3" t="s">
        <v>149</v>
      </c>
      <c r="G51" s="3">
        <f t="shared" si="2"/>
        <v>6250000</v>
      </c>
      <c r="H51" s="3">
        <f t="shared" si="3"/>
        <v>125568181.81818181</v>
      </c>
    </row>
    <row r="52" spans="1:8" x14ac:dyDescent="0.15">
      <c r="A52" s="3" t="s">
        <v>207</v>
      </c>
      <c r="B52" s="3" t="s">
        <v>159</v>
      </c>
      <c r="C52" s="3">
        <v>20000000</v>
      </c>
      <c r="D52" s="3">
        <v>20</v>
      </c>
      <c r="E52" s="3"/>
      <c r="F52" s="3" t="s">
        <v>149</v>
      </c>
      <c r="G52" s="3">
        <f t="shared" si="2"/>
        <v>0</v>
      </c>
      <c r="H52" s="3">
        <f t="shared" si="3"/>
        <v>18181818.18181818</v>
      </c>
    </row>
    <row r="53" spans="1:8" x14ac:dyDescent="0.15">
      <c r="A53" s="3" t="s">
        <v>208</v>
      </c>
      <c r="B53" s="3" t="s">
        <v>155</v>
      </c>
      <c r="C53" s="3">
        <v>8000000</v>
      </c>
      <c r="D53" s="3">
        <v>22</v>
      </c>
      <c r="E53" s="3" t="s">
        <v>151</v>
      </c>
      <c r="F53" s="3" t="s">
        <v>149</v>
      </c>
      <c r="G53" s="3">
        <f t="shared" si="2"/>
        <v>0</v>
      </c>
      <c r="H53" s="3">
        <f t="shared" si="3"/>
        <v>8000000</v>
      </c>
    </row>
    <row r="54" spans="1:8" x14ac:dyDescent="0.15">
      <c r="A54" s="3" t="s">
        <v>209</v>
      </c>
      <c r="B54" s="3" t="s">
        <v>157</v>
      </c>
      <c r="C54" s="3">
        <v>15000000</v>
      </c>
      <c r="D54" s="3">
        <v>22</v>
      </c>
      <c r="E54" s="3" t="s">
        <v>148</v>
      </c>
      <c r="F54" s="3" t="s">
        <v>149</v>
      </c>
      <c r="G54" s="3">
        <f t="shared" si="2"/>
        <v>1500000</v>
      </c>
      <c r="H54" s="3">
        <f t="shared" si="3"/>
        <v>16499999.999999998</v>
      </c>
    </row>
    <row r="55" spans="1:8" x14ac:dyDescent="0.15">
      <c r="A55" s="3" t="s">
        <v>210</v>
      </c>
      <c r="B55" s="3" t="s">
        <v>159</v>
      </c>
      <c r="C55" s="5">
        <v>125000000</v>
      </c>
      <c r="D55" s="3">
        <v>21</v>
      </c>
      <c r="E55" s="3" t="s">
        <v>150</v>
      </c>
      <c r="F55" s="3" t="s">
        <v>149</v>
      </c>
      <c r="G55" s="3">
        <f t="shared" si="2"/>
        <v>6250000</v>
      </c>
      <c r="H55" s="3">
        <f t="shared" si="3"/>
        <v>125568181.81818181</v>
      </c>
    </row>
    <row r="56" spans="1:8" x14ac:dyDescent="0.15">
      <c r="A56" s="3" t="s">
        <v>211</v>
      </c>
      <c r="B56" s="3" t="s">
        <v>155</v>
      </c>
      <c r="C56" s="3">
        <v>20000000</v>
      </c>
      <c r="D56" s="3">
        <v>20</v>
      </c>
      <c r="E56" s="3" t="s">
        <v>151</v>
      </c>
      <c r="F56" s="3" t="s">
        <v>149</v>
      </c>
      <c r="G56" s="3">
        <f t="shared" si="2"/>
        <v>0</v>
      </c>
      <c r="H56" s="3">
        <f t="shared" si="3"/>
        <v>18181818.18181818</v>
      </c>
    </row>
    <row r="57" spans="1:8" x14ac:dyDescent="0.15">
      <c r="A57" s="3" t="s">
        <v>212</v>
      </c>
      <c r="B57" s="3" t="s">
        <v>157</v>
      </c>
      <c r="C57" s="3">
        <v>8000000</v>
      </c>
      <c r="D57" s="3">
        <v>22</v>
      </c>
      <c r="E57" s="3" t="s">
        <v>148</v>
      </c>
      <c r="F57" s="3" t="s">
        <v>149</v>
      </c>
      <c r="G57" s="3">
        <f t="shared" si="2"/>
        <v>800000</v>
      </c>
      <c r="H57" s="3">
        <f t="shared" si="3"/>
        <v>8800000</v>
      </c>
    </row>
    <row r="58" spans="1:8" x14ac:dyDescent="0.15">
      <c r="A58" s="3" t="s">
        <v>213</v>
      </c>
      <c r="B58" s="3" t="s">
        <v>159</v>
      </c>
      <c r="C58" s="3">
        <v>15000000</v>
      </c>
      <c r="D58" s="3">
        <v>22</v>
      </c>
      <c r="E58" s="3" t="s">
        <v>150</v>
      </c>
      <c r="F58" s="3" t="s">
        <v>149</v>
      </c>
      <c r="G58" s="3">
        <f t="shared" si="2"/>
        <v>750000</v>
      </c>
      <c r="H58" s="3">
        <f t="shared" si="3"/>
        <v>15749999.999999998</v>
      </c>
    </row>
    <row r="59" spans="1:8" x14ac:dyDescent="0.15">
      <c r="A59" s="3" t="s">
        <v>214</v>
      </c>
      <c r="B59" s="3" t="s">
        <v>155</v>
      </c>
      <c r="C59" s="5">
        <v>125000000</v>
      </c>
      <c r="D59" s="3">
        <v>21</v>
      </c>
      <c r="E59" s="3"/>
      <c r="F59" s="3" t="s">
        <v>149</v>
      </c>
      <c r="G59" s="3">
        <f t="shared" si="2"/>
        <v>0</v>
      </c>
      <c r="H59" s="3">
        <f t="shared" si="3"/>
        <v>119318181.81818181</v>
      </c>
    </row>
    <row r="60" spans="1:8" x14ac:dyDescent="0.15">
      <c r="A60" s="3" t="s">
        <v>215</v>
      </c>
      <c r="B60" s="3" t="s">
        <v>157</v>
      </c>
      <c r="C60" s="3">
        <v>20000000</v>
      </c>
      <c r="D60" s="3">
        <v>20</v>
      </c>
      <c r="E60" s="3" t="s">
        <v>151</v>
      </c>
      <c r="F60" s="3" t="s">
        <v>149</v>
      </c>
      <c r="G60" s="3">
        <f t="shared" si="2"/>
        <v>0</v>
      </c>
      <c r="H60" s="3">
        <f t="shared" si="3"/>
        <v>18181818.18181818</v>
      </c>
    </row>
    <row r="61" spans="1:8" x14ac:dyDescent="0.15">
      <c r="A61" s="3" t="s">
        <v>216</v>
      </c>
      <c r="B61" s="3" t="s">
        <v>159</v>
      </c>
      <c r="C61" s="3">
        <v>8000000</v>
      </c>
      <c r="D61" s="3">
        <v>22</v>
      </c>
      <c r="E61" s="3" t="s">
        <v>148</v>
      </c>
      <c r="F61" s="3" t="s">
        <v>149</v>
      </c>
      <c r="G61" s="3">
        <f t="shared" si="2"/>
        <v>800000</v>
      </c>
      <c r="H61" s="3">
        <f t="shared" si="3"/>
        <v>8800000</v>
      </c>
    </row>
    <row r="62" spans="1:8" x14ac:dyDescent="0.15">
      <c r="A62" s="3" t="s">
        <v>217</v>
      </c>
      <c r="B62" s="3" t="s">
        <v>155</v>
      </c>
      <c r="C62" s="3">
        <v>15000000</v>
      </c>
      <c r="D62" s="3">
        <v>22</v>
      </c>
      <c r="E62" s="3" t="s">
        <v>150</v>
      </c>
      <c r="F62" s="3" t="s">
        <v>149</v>
      </c>
      <c r="G62" s="3">
        <f t="shared" si="2"/>
        <v>750000</v>
      </c>
      <c r="H62" s="3">
        <f t="shared" si="3"/>
        <v>15749999.999999998</v>
      </c>
    </row>
    <row r="63" spans="1:8" x14ac:dyDescent="0.15">
      <c r="A63" s="3" t="s">
        <v>218</v>
      </c>
      <c r="B63" s="3" t="s">
        <v>157</v>
      </c>
      <c r="C63" s="5">
        <v>125000000</v>
      </c>
      <c r="D63" s="3">
        <v>21</v>
      </c>
      <c r="E63" s="3" t="s">
        <v>151</v>
      </c>
      <c r="F63" s="3" t="s">
        <v>149</v>
      </c>
      <c r="G63" s="3">
        <f t="shared" si="2"/>
        <v>0</v>
      </c>
      <c r="H63" s="3">
        <f t="shared" si="3"/>
        <v>119318181.81818181</v>
      </c>
    </row>
    <row r="64" spans="1:8" x14ac:dyDescent="0.15">
      <c r="A64" s="3" t="s">
        <v>219</v>
      </c>
      <c r="B64" s="3" t="s">
        <v>159</v>
      </c>
      <c r="C64" s="3">
        <v>20000000</v>
      </c>
      <c r="D64" s="3">
        <v>20</v>
      </c>
      <c r="E64" s="3" t="s">
        <v>148</v>
      </c>
      <c r="F64" s="3" t="s">
        <v>149</v>
      </c>
      <c r="G64" s="3">
        <f t="shared" si="2"/>
        <v>2000000</v>
      </c>
      <c r="H64" s="3">
        <f t="shared" si="3"/>
        <v>20181818.18181818</v>
      </c>
    </row>
    <row r="65" spans="1:8" x14ac:dyDescent="0.15">
      <c r="A65" s="3" t="s">
        <v>220</v>
      </c>
      <c r="B65" s="3" t="s">
        <v>155</v>
      </c>
      <c r="C65" s="3">
        <v>8000000</v>
      </c>
      <c r="D65" s="3">
        <v>22</v>
      </c>
      <c r="E65" s="3" t="s">
        <v>150</v>
      </c>
      <c r="F65" s="3" t="s">
        <v>149</v>
      </c>
      <c r="G65" s="3">
        <f t="shared" si="2"/>
        <v>400000</v>
      </c>
      <c r="H65" s="3">
        <f t="shared" si="3"/>
        <v>8400000</v>
      </c>
    </row>
    <row r="66" spans="1:8" x14ac:dyDescent="0.15">
      <c r="A66" s="3" t="s">
        <v>221</v>
      </c>
      <c r="B66" s="3" t="s">
        <v>157</v>
      </c>
      <c r="C66" s="3">
        <v>15000000</v>
      </c>
      <c r="D66" s="3">
        <v>22</v>
      </c>
      <c r="E66" s="3"/>
      <c r="F66" s="3" t="s">
        <v>149</v>
      </c>
      <c r="G66" s="3">
        <f t="shared" ref="G66:G97" si="4">IF(E66="A",C66*0.1,IF(E66="B",C66*0.05,0))</f>
        <v>0</v>
      </c>
      <c r="H66" s="3">
        <f t="shared" ref="H66:H97" si="5">(C66/22)*D66+G66</f>
        <v>14999999.999999998</v>
      </c>
    </row>
    <row r="67" spans="1:8" x14ac:dyDescent="0.15">
      <c r="A67" s="3" t="s">
        <v>222</v>
      </c>
      <c r="B67" s="3" t="s">
        <v>159</v>
      </c>
      <c r="C67" s="5">
        <v>125000000</v>
      </c>
      <c r="D67" s="3">
        <v>21</v>
      </c>
      <c r="E67" s="3" t="s">
        <v>151</v>
      </c>
      <c r="F67" s="3" t="s">
        <v>149</v>
      </c>
      <c r="G67" s="3">
        <f t="shared" si="4"/>
        <v>0</v>
      </c>
      <c r="H67" s="3">
        <f t="shared" si="5"/>
        <v>119318181.81818181</v>
      </c>
    </row>
    <row r="68" spans="1:8" x14ac:dyDescent="0.15">
      <c r="A68" s="3" t="s">
        <v>223</v>
      </c>
      <c r="B68" s="3" t="s">
        <v>155</v>
      </c>
      <c r="C68" s="3">
        <v>20000000</v>
      </c>
      <c r="D68" s="3">
        <v>20</v>
      </c>
      <c r="E68" s="3" t="s">
        <v>148</v>
      </c>
      <c r="F68" s="3" t="s">
        <v>149</v>
      </c>
      <c r="G68" s="3">
        <f t="shared" si="4"/>
        <v>2000000</v>
      </c>
      <c r="H68" s="3">
        <f t="shared" si="5"/>
        <v>20181818.18181818</v>
      </c>
    </row>
    <row r="69" spans="1:8" x14ac:dyDescent="0.15">
      <c r="A69" s="3" t="s">
        <v>224</v>
      </c>
      <c r="B69" s="3" t="s">
        <v>157</v>
      </c>
      <c r="C69" s="3">
        <v>8000000</v>
      </c>
      <c r="D69" s="3">
        <v>22</v>
      </c>
      <c r="E69" s="3" t="s">
        <v>150</v>
      </c>
      <c r="F69" s="3" t="s">
        <v>149</v>
      </c>
      <c r="G69" s="3">
        <f t="shared" si="4"/>
        <v>400000</v>
      </c>
      <c r="H69" s="3">
        <f t="shared" si="5"/>
        <v>8400000</v>
      </c>
    </row>
    <row r="70" spans="1:8" x14ac:dyDescent="0.15">
      <c r="A70" s="3" t="s">
        <v>225</v>
      </c>
      <c r="B70" s="3" t="s">
        <v>159</v>
      </c>
      <c r="C70" s="3">
        <v>15000000</v>
      </c>
      <c r="D70" s="3">
        <v>22</v>
      </c>
      <c r="E70" s="3" t="s">
        <v>151</v>
      </c>
      <c r="F70" s="3" t="s">
        <v>149</v>
      </c>
      <c r="G70" s="3">
        <f t="shared" si="4"/>
        <v>0</v>
      </c>
      <c r="H70" s="3">
        <f t="shared" si="5"/>
        <v>14999999.999999998</v>
      </c>
    </row>
    <row r="71" spans="1:8" x14ac:dyDescent="0.15">
      <c r="A71" s="3" t="s">
        <v>226</v>
      </c>
      <c r="B71" s="3" t="s">
        <v>155</v>
      </c>
      <c r="C71" s="5">
        <v>125000000</v>
      </c>
      <c r="D71" s="3">
        <v>21</v>
      </c>
      <c r="E71" s="3" t="s">
        <v>148</v>
      </c>
      <c r="F71" s="3" t="s">
        <v>149</v>
      </c>
      <c r="G71" s="3">
        <f t="shared" si="4"/>
        <v>12500000</v>
      </c>
      <c r="H71" s="3">
        <f t="shared" si="5"/>
        <v>131818181.81818181</v>
      </c>
    </row>
    <row r="72" spans="1:8" x14ac:dyDescent="0.15">
      <c r="A72" s="3" t="s">
        <v>227</v>
      </c>
      <c r="B72" s="3" t="s">
        <v>157</v>
      </c>
      <c r="C72" s="3">
        <v>20000000</v>
      </c>
      <c r="D72" s="3">
        <v>20</v>
      </c>
      <c r="E72" s="3" t="s">
        <v>150</v>
      </c>
      <c r="F72" s="3" t="s">
        <v>149</v>
      </c>
      <c r="G72" s="3">
        <f t="shared" si="4"/>
        <v>1000000</v>
      </c>
      <c r="H72" s="3">
        <f t="shared" si="5"/>
        <v>19181818.18181818</v>
      </c>
    </row>
    <row r="73" spans="1:8" x14ac:dyDescent="0.15">
      <c r="A73" s="3" t="s">
        <v>228</v>
      </c>
      <c r="B73" s="3" t="s">
        <v>159</v>
      </c>
      <c r="C73" s="3">
        <v>8000000</v>
      </c>
      <c r="D73" s="3">
        <v>22</v>
      </c>
      <c r="E73" s="3"/>
      <c r="F73" s="3" t="s">
        <v>149</v>
      </c>
      <c r="G73" s="3">
        <f t="shared" si="4"/>
        <v>0</v>
      </c>
      <c r="H73" s="3">
        <f t="shared" si="5"/>
        <v>8000000</v>
      </c>
    </row>
    <row r="74" spans="1:8" x14ac:dyDescent="0.15">
      <c r="A74" s="3" t="s">
        <v>229</v>
      </c>
      <c r="B74" s="3" t="s">
        <v>155</v>
      </c>
      <c r="C74" s="3">
        <v>15000000</v>
      </c>
      <c r="D74" s="3">
        <v>22</v>
      </c>
      <c r="E74" s="3" t="s">
        <v>151</v>
      </c>
      <c r="F74" s="3" t="s">
        <v>149</v>
      </c>
      <c r="G74" s="3">
        <f t="shared" si="4"/>
        <v>0</v>
      </c>
      <c r="H74" s="3">
        <f t="shared" si="5"/>
        <v>14999999.999999998</v>
      </c>
    </row>
    <row r="75" spans="1:8" x14ac:dyDescent="0.15">
      <c r="A75" s="3" t="s">
        <v>230</v>
      </c>
      <c r="B75" s="3" t="s">
        <v>157</v>
      </c>
      <c r="C75" s="5">
        <v>125000000</v>
      </c>
      <c r="D75" s="3">
        <v>21</v>
      </c>
      <c r="E75" s="3" t="s">
        <v>148</v>
      </c>
      <c r="F75" s="3" t="s">
        <v>149</v>
      </c>
      <c r="G75" s="3">
        <f t="shared" si="4"/>
        <v>12500000</v>
      </c>
      <c r="H75" s="3">
        <f t="shared" si="5"/>
        <v>131818181.81818181</v>
      </c>
    </row>
    <row r="76" spans="1:8" x14ac:dyDescent="0.15">
      <c r="A76" s="3" t="s">
        <v>231</v>
      </c>
      <c r="B76" s="3" t="s">
        <v>159</v>
      </c>
      <c r="C76" s="3">
        <v>20000000</v>
      </c>
      <c r="D76" s="3">
        <v>20</v>
      </c>
      <c r="E76" s="3" t="s">
        <v>150</v>
      </c>
      <c r="F76" s="3" t="s">
        <v>149</v>
      </c>
      <c r="G76" s="3">
        <f t="shared" si="4"/>
        <v>1000000</v>
      </c>
      <c r="H76" s="3">
        <f t="shared" si="5"/>
        <v>19181818.18181818</v>
      </c>
    </row>
    <row r="77" spans="1:8" x14ac:dyDescent="0.15">
      <c r="A77" s="3" t="s">
        <v>232</v>
      </c>
      <c r="B77" s="3" t="s">
        <v>155</v>
      </c>
      <c r="C77" s="3">
        <v>8000000</v>
      </c>
      <c r="D77" s="3">
        <v>22</v>
      </c>
      <c r="E77" s="3" t="s">
        <v>151</v>
      </c>
      <c r="F77" s="3" t="s">
        <v>149</v>
      </c>
      <c r="G77" s="3">
        <f t="shared" si="4"/>
        <v>0</v>
      </c>
      <c r="H77" s="3">
        <f t="shared" si="5"/>
        <v>8000000</v>
      </c>
    </row>
    <row r="78" spans="1:8" x14ac:dyDescent="0.15">
      <c r="A78" s="3" t="s">
        <v>233</v>
      </c>
      <c r="B78" s="3" t="s">
        <v>157</v>
      </c>
      <c r="C78" s="3">
        <v>15000000</v>
      </c>
      <c r="D78" s="3">
        <v>22</v>
      </c>
      <c r="E78" s="3" t="s">
        <v>148</v>
      </c>
      <c r="F78" s="3" t="s">
        <v>149</v>
      </c>
      <c r="G78" s="3">
        <f t="shared" si="4"/>
        <v>1500000</v>
      </c>
      <c r="H78" s="3">
        <f t="shared" si="5"/>
        <v>16499999.999999998</v>
      </c>
    </row>
    <row r="79" spans="1:8" x14ac:dyDescent="0.15">
      <c r="A79" s="3" t="s">
        <v>234</v>
      </c>
      <c r="B79" s="3" t="s">
        <v>159</v>
      </c>
      <c r="C79" s="5">
        <v>125000000</v>
      </c>
      <c r="D79" s="3">
        <v>21</v>
      </c>
      <c r="E79" s="3" t="s">
        <v>150</v>
      </c>
      <c r="F79" s="3" t="s">
        <v>149</v>
      </c>
      <c r="G79" s="3">
        <f t="shared" si="4"/>
        <v>6250000</v>
      </c>
      <c r="H79" s="3">
        <f t="shared" si="5"/>
        <v>125568181.81818181</v>
      </c>
    </row>
    <row r="80" spans="1:8" x14ac:dyDescent="0.15">
      <c r="A80" s="3" t="s">
        <v>235</v>
      </c>
      <c r="B80" s="3" t="s">
        <v>155</v>
      </c>
      <c r="C80" s="3">
        <v>20000000</v>
      </c>
      <c r="D80" s="3">
        <v>20</v>
      </c>
      <c r="E80" s="3"/>
      <c r="F80" s="3" t="s">
        <v>149</v>
      </c>
      <c r="G80" s="3">
        <f t="shared" si="4"/>
        <v>0</v>
      </c>
      <c r="H80" s="3">
        <f t="shared" si="5"/>
        <v>18181818.18181818</v>
      </c>
    </row>
    <row r="81" spans="1:8" x14ac:dyDescent="0.15">
      <c r="A81" s="3" t="s">
        <v>236</v>
      </c>
      <c r="B81" s="3" t="s">
        <v>157</v>
      </c>
      <c r="C81" s="3">
        <v>8000000</v>
      </c>
      <c r="D81" s="3">
        <v>22</v>
      </c>
      <c r="E81" s="3" t="s">
        <v>151</v>
      </c>
      <c r="F81" s="3" t="s">
        <v>149</v>
      </c>
      <c r="G81" s="3">
        <f t="shared" si="4"/>
        <v>0</v>
      </c>
      <c r="H81" s="3">
        <f t="shared" si="5"/>
        <v>8000000</v>
      </c>
    </row>
    <row r="82" spans="1:8" x14ac:dyDescent="0.15">
      <c r="A82" s="3" t="s">
        <v>237</v>
      </c>
      <c r="B82" s="3" t="s">
        <v>159</v>
      </c>
      <c r="C82" s="3">
        <v>15000000</v>
      </c>
      <c r="D82" s="3">
        <v>22</v>
      </c>
      <c r="E82" s="3" t="s">
        <v>148</v>
      </c>
      <c r="F82" s="3" t="s">
        <v>149</v>
      </c>
      <c r="G82" s="3">
        <f t="shared" si="4"/>
        <v>1500000</v>
      </c>
      <c r="H82" s="3">
        <f t="shared" si="5"/>
        <v>16499999.999999998</v>
      </c>
    </row>
    <row r="83" spans="1:8" x14ac:dyDescent="0.15">
      <c r="A83" s="3" t="s">
        <v>238</v>
      </c>
      <c r="B83" s="3" t="s">
        <v>155</v>
      </c>
      <c r="C83" s="5">
        <v>125000000</v>
      </c>
      <c r="D83" s="3">
        <v>21</v>
      </c>
      <c r="E83" s="3" t="s">
        <v>150</v>
      </c>
      <c r="F83" s="3" t="s">
        <v>149</v>
      </c>
      <c r="G83" s="3">
        <f t="shared" si="4"/>
        <v>6250000</v>
      </c>
      <c r="H83" s="3">
        <f t="shared" si="5"/>
        <v>125568181.81818181</v>
      </c>
    </row>
    <row r="84" spans="1:8" x14ac:dyDescent="0.15">
      <c r="A84" s="3" t="s">
        <v>239</v>
      </c>
      <c r="B84" s="3" t="s">
        <v>157</v>
      </c>
      <c r="C84" s="3">
        <v>20000000</v>
      </c>
      <c r="D84" s="3">
        <v>20</v>
      </c>
      <c r="E84" s="3" t="s">
        <v>151</v>
      </c>
      <c r="F84" s="3" t="s">
        <v>149</v>
      </c>
      <c r="G84" s="3">
        <f t="shared" si="4"/>
        <v>0</v>
      </c>
      <c r="H84" s="3">
        <f t="shared" si="5"/>
        <v>18181818.18181818</v>
      </c>
    </row>
    <row r="85" spans="1:8" x14ac:dyDescent="0.15">
      <c r="A85" s="3" t="s">
        <v>240</v>
      </c>
      <c r="B85" s="3" t="s">
        <v>159</v>
      </c>
      <c r="C85" s="3">
        <v>8000000</v>
      </c>
      <c r="D85" s="3">
        <v>22</v>
      </c>
      <c r="E85" s="3" t="s">
        <v>148</v>
      </c>
      <c r="F85" s="3" t="s">
        <v>149</v>
      </c>
      <c r="G85" s="3">
        <f t="shared" si="4"/>
        <v>800000</v>
      </c>
      <c r="H85" s="3">
        <f t="shared" si="5"/>
        <v>8800000</v>
      </c>
    </row>
    <row r="86" spans="1:8" x14ac:dyDescent="0.15">
      <c r="A86" s="3" t="s">
        <v>241</v>
      </c>
      <c r="B86" s="3" t="s">
        <v>155</v>
      </c>
      <c r="C86" s="3">
        <v>15000000</v>
      </c>
      <c r="D86" s="3">
        <v>22</v>
      </c>
      <c r="E86" s="3" t="s">
        <v>150</v>
      </c>
      <c r="F86" s="3" t="s">
        <v>149</v>
      </c>
      <c r="G86" s="3">
        <f t="shared" si="4"/>
        <v>750000</v>
      </c>
      <c r="H86" s="3">
        <f t="shared" si="5"/>
        <v>15749999.999999998</v>
      </c>
    </row>
    <row r="87" spans="1:8" x14ac:dyDescent="0.15">
      <c r="A87" s="3" t="s">
        <v>242</v>
      </c>
      <c r="B87" s="3" t="s">
        <v>157</v>
      </c>
      <c r="C87" s="5">
        <v>125000000</v>
      </c>
      <c r="D87" s="3">
        <v>21</v>
      </c>
      <c r="E87" s="3"/>
      <c r="F87" s="3" t="s">
        <v>149</v>
      </c>
      <c r="G87" s="3">
        <f t="shared" si="4"/>
        <v>0</v>
      </c>
      <c r="H87" s="3">
        <f t="shared" si="5"/>
        <v>119318181.81818181</v>
      </c>
    </row>
    <row r="88" spans="1:8" x14ac:dyDescent="0.15">
      <c r="A88" s="3" t="s">
        <v>243</v>
      </c>
      <c r="B88" s="3" t="s">
        <v>159</v>
      </c>
      <c r="C88" s="3">
        <v>20000000</v>
      </c>
      <c r="D88" s="3">
        <v>20</v>
      </c>
      <c r="E88" s="3" t="s">
        <v>151</v>
      </c>
      <c r="F88" s="3" t="s">
        <v>149</v>
      </c>
      <c r="G88" s="3">
        <f t="shared" si="4"/>
        <v>0</v>
      </c>
      <c r="H88" s="3">
        <f t="shared" si="5"/>
        <v>18181818.18181818</v>
      </c>
    </row>
    <row r="89" spans="1:8" x14ac:dyDescent="0.15">
      <c r="A89" s="3" t="s">
        <v>244</v>
      </c>
      <c r="B89" s="3" t="s">
        <v>157</v>
      </c>
      <c r="C89" s="5">
        <v>125000000</v>
      </c>
      <c r="D89" s="3">
        <v>21</v>
      </c>
      <c r="E89" s="3" t="s">
        <v>148</v>
      </c>
      <c r="F89" s="3" t="s">
        <v>149</v>
      </c>
      <c r="G89" s="3">
        <f t="shared" si="4"/>
        <v>12500000</v>
      </c>
      <c r="H89" s="3">
        <f t="shared" si="5"/>
        <v>131818181.81818181</v>
      </c>
    </row>
    <row r="90" spans="1:8" x14ac:dyDescent="0.15">
      <c r="A90" s="3" t="s">
        <v>245</v>
      </c>
      <c r="B90" s="3" t="s">
        <v>159</v>
      </c>
      <c r="C90" s="3">
        <v>20000000</v>
      </c>
      <c r="D90" s="3">
        <v>20</v>
      </c>
      <c r="E90" s="3" t="s">
        <v>150</v>
      </c>
      <c r="F90" s="3" t="s">
        <v>149</v>
      </c>
      <c r="G90" s="3">
        <f t="shared" si="4"/>
        <v>1000000</v>
      </c>
      <c r="H90" s="3">
        <f t="shared" si="5"/>
        <v>19181818.18181818</v>
      </c>
    </row>
    <row r="91" spans="1:8" x14ac:dyDescent="0.15">
      <c r="A91" s="3" t="s">
        <v>246</v>
      </c>
      <c r="B91" s="3" t="s">
        <v>155</v>
      </c>
      <c r="C91" s="3">
        <v>8000000</v>
      </c>
      <c r="D91" s="3">
        <v>22</v>
      </c>
      <c r="E91" s="3" t="s">
        <v>151</v>
      </c>
      <c r="F91" s="3" t="s">
        <v>149</v>
      </c>
      <c r="G91" s="3">
        <f t="shared" si="4"/>
        <v>0</v>
      </c>
      <c r="H91" s="3">
        <f t="shared" si="5"/>
        <v>8000000</v>
      </c>
    </row>
    <row r="92" spans="1:8" x14ac:dyDescent="0.15">
      <c r="A92" s="3" t="s">
        <v>247</v>
      </c>
      <c r="B92" s="3" t="s">
        <v>157</v>
      </c>
      <c r="C92" s="3">
        <v>15000000</v>
      </c>
      <c r="D92" s="3">
        <v>22</v>
      </c>
      <c r="E92" s="3"/>
      <c r="F92" s="3" t="s">
        <v>149</v>
      </c>
      <c r="G92" s="3">
        <f t="shared" si="4"/>
        <v>0</v>
      </c>
      <c r="H92" s="3">
        <f t="shared" si="5"/>
        <v>14999999.999999998</v>
      </c>
    </row>
    <row r="93" spans="1:8" x14ac:dyDescent="0.15">
      <c r="A93" s="3" t="s">
        <v>248</v>
      </c>
      <c r="B93" s="3" t="s">
        <v>159</v>
      </c>
      <c r="C93" s="5">
        <v>125000000</v>
      </c>
      <c r="D93" s="3">
        <v>21</v>
      </c>
      <c r="E93" s="3" t="s">
        <v>148</v>
      </c>
      <c r="F93" s="3" t="s">
        <v>149</v>
      </c>
      <c r="G93" s="3">
        <f t="shared" si="4"/>
        <v>12500000</v>
      </c>
      <c r="H93" s="3">
        <f t="shared" si="5"/>
        <v>131818181.81818181</v>
      </c>
    </row>
    <row r="94" spans="1:8" x14ac:dyDescent="0.15">
      <c r="A94" s="3" t="s">
        <v>249</v>
      </c>
      <c r="B94" s="3" t="s">
        <v>155</v>
      </c>
      <c r="C94" s="3">
        <v>20000000</v>
      </c>
      <c r="D94" s="3">
        <v>20</v>
      </c>
      <c r="E94" s="3" t="s">
        <v>150</v>
      </c>
      <c r="F94" s="3" t="s">
        <v>149</v>
      </c>
      <c r="G94" s="3">
        <f t="shared" si="4"/>
        <v>1000000</v>
      </c>
      <c r="H94" s="3">
        <f t="shared" si="5"/>
        <v>19181818.18181818</v>
      </c>
    </row>
    <row r="95" spans="1:8" x14ac:dyDescent="0.15">
      <c r="A95" s="3" t="s">
        <v>250</v>
      </c>
      <c r="B95" s="3" t="s">
        <v>157</v>
      </c>
      <c r="C95" s="3">
        <v>8000000</v>
      </c>
      <c r="D95" s="3">
        <v>22</v>
      </c>
      <c r="E95" s="3" t="s">
        <v>151</v>
      </c>
      <c r="F95" s="3" t="s">
        <v>149</v>
      </c>
      <c r="G95" s="3">
        <f t="shared" si="4"/>
        <v>0</v>
      </c>
      <c r="H95" s="3">
        <f t="shared" si="5"/>
        <v>8000000</v>
      </c>
    </row>
    <row r="96" spans="1:8" x14ac:dyDescent="0.15">
      <c r="A96" s="3" t="s">
        <v>251</v>
      </c>
      <c r="B96" s="3" t="s">
        <v>159</v>
      </c>
      <c r="C96" s="3">
        <v>15000000</v>
      </c>
      <c r="D96" s="3">
        <v>22</v>
      </c>
      <c r="E96" s="3" t="s">
        <v>148</v>
      </c>
      <c r="F96" s="3" t="s">
        <v>149</v>
      </c>
      <c r="G96" s="3">
        <f t="shared" si="4"/>
        <v>1500000</v>
      </c>
      <c r="H96" s="3">
        <f t="shared" si="5"/>
        <v>16499999.999999998</v>
      </c>
    </row>
    <row r="97" spans="1:8" x14ac:dyDescent="0.15">
      <c r="A97" s="3" t="s">
        <v>252</v>
      </c>
      <c r="B97" s="3" t="s">
        <v>155</v>
      </c>
      <c r="C97" s="5">
        <v>125000000</v>
      </c>
      <c r="D97" s="3">
        <v>21</v>
      </c>
      <c r="E97" s="3" t="s">
        <v>150</v>
      </c>
      <c r="F97" s="3" t="s">
        <v>149</v>
      </c>
      <c r="G97" s="3">
        <f t="shared" si="4"/>
        <v>6250000</v>
      </c>
      <c r="H97" s="3">
        <f t="shared" si="5"/>
        <v>125568181.81818181</v>
      </c>
    </row>
    <row r="98" spans="1:8" x14ac:dyDescent="0.15">
      <c r="A98" s="3" t="s">
        <v>253</v>
      </c>
      <c r="B98" s="3" t="s">
        <v>157</v>
      </c>
      <c r="C98" s="3">
        <v>20000000</v>
      </c>
      <c r="D98" s="3">
        <v>20</v>
      </c>
      <c r="E98" s="3" t="s">
        <v>151</v>
      </c>
      <c r="F98" s="3" t="s">
        <v>149</v>
      </c>
      <c r="G98" s="3">
        <f t="shared" ref="G98:G129" si="6">IF(E98="A",C98*0.1,IF(E98="B",C98*0.05,0))</f>
        <v>0</v>
      </c>
      <c r="H98" s="3">
        <f t="shared" ref="H98:H129" si="7">(C98/22)*D98+G98</f>
        <v>18181818.18181818</v>
      </c>
    </row>
    <row r="99" spans="1:8" x14ac:dyDescent="0.15">
      <c r="A99" s="3" t="s">
        <v>254</v>
      </c>
      <c r="B99" s="3" t="s">
        <v>159</v>
      </c>
      <c r="C99" s="3">
        <v>8000000</v>
      </c>
      <c r="D99" s="3">
        <v>22</v>
      </c>
      <c r="E99" s="3" t="s">
        <v>148</v>
      </c>
      <c r="F99" s="3" t="s">
        <v>149</v>
      </c>
      <c r="G99" s="3">
        <f t="shared" si="6"/>
        <v>800000</v>
      </c>
      <c r="H99" s="3">
        <f t="shared" si="7"/>
        <v>8800000</v>
      </c>
    </row>
    <row r="100" spans="1:8" x14ac:dyDescent="0.15">
      <c r="A100" s="3" t="s">
        <v>255</v>
      </c>
      <c r="B100" s="3" t="s">
        <v>155</v>
      </c>
      <c r="C100" s="3">
        <v>15000000</v>
      </c>
      <c r="D100" s="3">
        <v>22</v>
      </c>
      <c r="E100" s="3" t="s">
        <v>150</v>
      </c>
      <c r="F100" s="3" t="s">
        <v>149</v>
      </c>
      <c r="G100" s="3">
        <f t="shared" si="6"/>
        <v>750000</v>
      </c>
      <c r="H100" s="3">
        <f t="shared" si="7"/>
        <v>15749999.999999998</v>
      </c>
    </row>
    <row r="101" spans="1:8" x14ac:dyDescent="0.15">
      <c r="A101" s="3" t="s">
        <v>256</v>
      </c>
      <c r="B101" s="3" t="s">
        <v>157</v>
      </c>
      <c r="C101" s="5">
        <v>125000000</v>
      </c>
      <c r="D101" s="3">
        <v>21</v>
      </c>
      <c r="E101" s="3"/>
      <c r="F101" s="3" t="s">
        <v>149</v>
      </c>
      <c r="G101" s="3">
        <f t="shared" si="6"/>
        <v>0</v>
      </c>
      <c r="H101" s="3">
        <f t="shared" si="7"/>
        <v>119318181.81818181</v>
      </c>
    </row>
    <row r="102" spans="1:8" x14ac:dyDescent="0.15">
      <c r="A102" s="3" t="s">
        <v>257</v>
      </c>
      <c r="B102" s="3" t="s">
        <v>159</v>
      </c>
      <c r="C102" s="3">
        <v>20000000</v>
      </c>
      <c r="D102" s="3">
        <v>20</v>
      </c>
      <c r="E102" s="3" t="s">
        <v>148</v>
      </c>
      <c r="F102" s="3" t="s">
        <v>149</v>
      </c>
      <c r="G102" s="3">
        <f t="shared" si="6"/>
        <v>2000000</v>
      </c>
      <c r="H102" s="3">
        <f t="shared" si="7"/>
        <v>20181818.18181818</v>
      </c>
    </row>
    <row r="103" spans="1:8" x14ac:dyDescent="0.15">
      <c r="A103" s="3" t="s">
        <v>258</v>
      </c>
      <c r="B103" s="3" t="s">
        <v>155</v>
      </c>
      <c r="C103" s="3">
        <v>8000000</v>
      </c>
      <c r="D103" s="3">
        <v>22</v>
      </c>
      <c r="E103" s="3" t="s">
        <v>150</v>
      </c>
      <c r="F103" s="3" t="s">
        <v>149</v>
      </c>
      <c r="G103" s="3">
        <f t="shared" si="6"/>
        <v>400000</v>
      </c>
      <c r="H103" s="3">
        <f t="shared" si="7"/>
        <v>8400000</v>
      </c>
    </row>
    <row r="104" spans="1:8" x14ac:dyDescent="0.15">
      <c r="A104" s="3" t="s">
        <v>259</v>
      </c>
      <c r="B104" s="3" t="s">
        <v>157</v>
      </c>
      <c r="C104" s="3">
        <v>15000000</v>
      </c>
      <c r="D104" s="3">
        <v>22</v>
      </c>
      <c r="E104" s="3" t="s">
        <v>151</v>
      </c>
      <c r="F104" s="3" t="s">
        <v>149</v>
      </c>
      <c r="G104" s="3">
        <f t="shared" si="6"/>
        <v>0</v>
      </c>
      <c r="H104" s="3">
        <f t="shared" si="7"/>
        <v>14999999.999999998</v>
      </c>
    </row>
    <row r="105" spans="1:8" x14ac:dyDescent="0.15">
      <c r="A105" s="3" t="s">
        <v>260</v>
      </c>
      <c r="B105" s="3" t="s">
        <v>159</v>
      </c>
      <c r="C105" s="5">
        <v>125000000</v>
      </c>
      <c r="D105" s="3">
        <v>21</v>
      </c>
      <c r="E105" s="3" t="s">
        <v>148</v>
      </c>
      <c r="F105" s="3" t="s">
        <v>149</v>
      </c>
      <c r="G105" s="3">
        <f t="shared" si="6"/>
        <v>12500000</v>
      </c>
      <c r="H105" s="3">
        <f t="shared" si="7"/>
        <v>131818181.81818181</v>
      </c>
    </row>
    <row r="106" spans="1:8" x14ac:dyDescent="0.15">
      <c r="A106" s="3" t="s">
        <v>261</v>
      </c>
      <c r="B106" s="3" t="s">
        <v>155</v>
      </c>
      <c r="C106" s="3">
        <v>20000000</v>
      </c>
      <c r="D106" s="3">
        <v>20</v>
      </c>
      <c r="E106" s="3" t="s">
        <v>150</v>
      </c>
      <c r="F106" s="3" t="s">
        <v>149</v>
      </c>
      <c r="G106" s="3">
        <f t="shared" si="6"/>
        <v>1000000</v>
      </c>
      <c r="H106" s="3">
        <f t="shared" si="7"/>
        <v>19181818.18181818</v>
      </c>
    </row>
    <row r="107" spans="1:8" x14ac:dyDescent="0.15">
      <c r="A107" s="3" t="s">
        <v>262</v>
      </c>
      <c r="B107" s="3" t="s">
        <v>157</v>
      </c>
      <c r="C107" s="3">
        <v>8000000</v>
      </c>
      <c r="D107" s="3">
        <v>22</v>
      </c>
      <c r="E107" s="3" t="s">
        <v>151</v>
      </c>
      <c r="F107" s="3" t="s">
        <v>149</v>
      </c>
      <c r="G107" s="3">
        <f t="shared" si="6"/>
        <v>0</v>
      </c>
      <c r="H107" s="3">
        <f t="shared" si="7"/>
        <v>8000000</v>
      </c>
    </row>
    <row r="108" spans="1:8" x14ac:dyDescent="0.15">
      <c r="A108" s="3" t="s">
        <v>263</v>
      </c>
      <c r="B108" s="3" t="s">
        <v>159</v>
      </c>
      <c r="C108" s="3">
        <v>15000000</v>
      </c>
      <c r="D108" s="3">
        <v>22</v>
      </c>
      <c r="E108" s="3"/>
      <c r="F108" s="3" t="s">
        <v>149</v>
      </c>
      <c r="G108" s="3">
        <f t="shared" si="6"/>
        <v>0</v>
      </c>
      <c r="H108" s="3">
        <f t="shared" si="7"/>
        <v>14999999.999999998</v>
      </c>
    </row>
    <row r="109" spans="1:8" x14ac:dyDescent="0.15">
      <c r="A109" s="3" t="s">
        <v>264</v>
      </c>
      <c r="B109" s="3" t="s">
        <v>155</v>
      </c>
      <c r="C109" s="5">
        <v>125000000</v>
      </c>
      <c r="D109" s="3">
        <v>21</v>
      </c>
      <c r="E109" s="3" t="s">
        <v>148</v>
      </c>
      <c r="F109" s="3" t="s">
        <v>149</v>
      </c>
      <c r="G109" s="3">
        <f t="shared" si="6"/>
        <v>12500000</v>
      </c>
      <c r="H109" s="3">
        <f t="shared" si="7"/>
        <v>131818181.81818181</v>
      </c>
    </row>
    <row r="110" spans="1:8" x14ac:dyDescent="0.15">
      <c r="A110" s="3" t="s">
        <v>265</v>
      </c>
      <c r="B110" s="3" t="s">
        <v>157</v>
      </c>
      <c r="C110" s="3">
        <v>20000000</v>
      </c>
      <c r="D110" s="3">
        <v>20</v>
      </c>
      <c r="E110" s="3" t="s">
        <v>150</v>
      </c>
      <c r="F110" s="3" t="s">
        <v>149</v>
      </c>
      <c r="G110" s="3">
        <f t="shared" si="6"/>
        <v>1000000</v>
      </c>
      <c r="H110" s="3">
        <f t="shared" si="7"/>
        <v>19181818.18181818</v>
      </c>
    </row>
    <row r="111" spans="1:8" x14ac:dyDescent="0.15">
      <c r="A111" s="3" t="s">
        <v>266</v>
      </c>
      <c r="B111" s="3" t="s">
        <v>159</v>
      </c>
      <c r="C111" s="3">
        <v>8000000</v>
      </c>
      <c r="D111" s="3">
        <v>22</v>
      </c>
      <c r="E111" s="3" t="s">
        <v>151</v>
      </c>
      <c r="F111" s="3" t="s">
        <v>149</v>
      </c>
      <c r="G111" s="3">
        <f t="shared" si="6"/>
        <v>0</v>
      </c>
      <c r="H111" s="3">
        <f t="shared" si="7"/>
        <v>8000000</v>
      </c>
    </row>
    <row r="112" spans="1:8" x14ac:dyDescent="0.15">
      <c r="A112" s="3" t="s">
        <v>267</v>
      </c>
      <c r="B112" s="3" t="s">
        <v>155</v>
      </c>
      <c r="C112" s="3">
        <v>15000000</v>
      </c>
      <c r="D112" s="3">
        <v>22</v>
      </c>
      <c r="E112" s="3" t="s">
        <v>148</v>
      </c>
      <c r="F112" s="3" t="s">
        <v>149</v>
      </c>
      <c r="G112" s="3">
        <f t="shared" si="6"/>
        <v>1500000</v>
      </c>
      <c r="H112" s="3">
        <f t="shared" si="7"/>
        <v>16499999.999999998</v>
      </c>
    </row>
    <row r="113" spans="1:8" x14ac:dyDescent="0.15">
      <c r="A113" s="3" t="s">
        <v>268</v>
      </c>
      <c r="B113" s="3" t="s">
        <v>157</v>
      </c>
      <c r="C113" s="5">
        <v>125000000</v>
      </c>
      <c r="D113" s="3">
        <v>21</v>
      </c>
      <c r="E113" s="3" t="s">
        <v>150</v>
      </c>
      <c r="F113" s="3" t="s">
        <v>149</v>
      </c>
      <c r="G113" s="3">
        <f t="shared" si="6"/>
        <v>6250000</v>
      </c>
      <c r="H113" s="3">
        <f t="shared" si="7"/>
        <v>125568181.81818181</v>
      </c>
    </row>
    <row r="114" spans="1:8" x14ac:dyDescent="0.15">
      <c r="A114" s="3" t="s">
        <v>269</v>
      </c>
      <c r="B114" s="3" t="s">
        <v>159</v>
      </c>
      <c r="C114" s="3">
        <v>20000000</v>
      </c>
      <c r="D114" s="3">
        <v>20</v>
      </c>
      <c r="E114" s="3" t="s">
        <v>151</v>
      </c>
      <c r="F114" s="3" t="s">
        <v>149</v>
      </c>
      <c r="G114" s="3">
        <f t="shared" si="6"/>
        <v>0</v>
      </c>
      <c r="H114" s="3">
        <f t="shared" si="7"/>
        <v>18181818.18181818</v>
      </c>
    </row>
    <row r="115" spans="1:8" x14ac:dyDescent="0.15">
      <c r="A115" s="3" t="s">
        <v>270</v>
      </c>
      <c r="B115" s="3" t="s">
        <v>155</v>
      </c>
      <c r="C115" s="3">
        <v>8000000</v>
      </c>
      <c r="D115" s="3">
        <v>22</v>
      </c>
      <c r="E115" s="3"/>
      <c r="F115" s="3" t="s">
        <v>149</v>
      </c>
      <c r="G115" s="3">
        <f t="shared" si="6"/>
        <v>0</v>
      </c>
      <c r="H115" s="3">
        <f t="shared" si="7"/>
        <v>8000000</v>
      </c>
    </row>
    <row r="116" spans="1:8" x14ac:dyDescent="0.15">
      <c r="A116" s="3" t="s">
        <v>271</v>
      </c>
      <c r="B116" s="3" t="s">
        <v>157</v>
      </c>
      <c r="C116" s="3">
        <v>15000000</v>
      </c>
      <c r="D116" s="3">
        <v>22</v>
      </c>
      <c r="E116" s="3" t="s">
        <v>148</v>
      </c>
      <c r="F116" s="3" t="s">
        <v>149</v>
      </c>
      <c r="G116" s="3">
        <f t="shared" si="6"/>
        <v>1500000</v>
      </c>
      <c r="H116" s="3">
        <f t="shared" si="7"/>
        <v>16499999.999999998</v>
      </c>
    </row>
    <row r="117" spans="1:8" x14ac:dyDescent="0.15">
      <c r="A117" s="3" t="s">
        <v>272</v>
      </c>
      <c r="B117" s="3" t="s">
        <v>159</v>
      </c>
      <c r="C117" s="5">
        <v>125000000</v>
      </c>
      <c r="D117" s="3">
        <v>21</v>
      </c>
      <c r="E117" s="3" t="s">
        <v>150</v>
      </c>
      <c r="F117" s="3" t="s">
        <v>149</v>
      </c>
      <c r="G117" s="3">
        <f t="shared" si="6"/>
        <v>6250000</v>
      </c>
      <c r="H117" s="3">
        <f t="shared" si="7"/>
        <v>125568181.81818181</v>
      </c>
    </row>
    <row r="118" spans="1:8" x14ac:dyDescent="0.15">
      <c r="A118" s="3" t="s">
        <v>273</v>
      </c>
      <c r="B118" s="3" t="s">
        <v>155</v>
      </c>
      <c r="C118" s="3">
        <v>20000000</v>
      </c>
      <c r="D118" s="3">
        <v>20</v>
      </c>
      <c r="E118" s="3" t="s">
        <v>151</v>
      </c>
      <c r="F118" s="3" t="s">
        <v>149</v>
      </c>
      <c r="G118" s="3">
        <f t="shared" si="6"/>
        <v>0</v>
      </c>
      <c r="H118" s="3">
        <f t="shared" si="7"/>
        <v>18181818.18181818</v>
      </c>
    </row>
    <row r="119" spans="1:8" x14ac:dyDescent="0.15">
      <c r="A119" s="3" t="s">
        <v>274</v>
      </c>
      <c r="B119" s="3" t="s">
        <v>157</v>
      </c>
      <c r="C119" s="3">
        <v>8000000</v>
      </c>
      <c r="D119" s="3">
        <v>22</v>
      </c>
      <c r="E119" s="3" t="s">
        <v>148</v>
      </c>
      <c r="F119" s="3" t="s">
        <v>149</v>
      </c>
      <c r="G119" s="3">
        <f t="shared" si="6"/>
        <v>800000</v>
      </c>
      <c r="H119" s="3">
        <f t="shared" si="7"/>
        <v>8800000</v>
      </c>
    </row>
    <row r="120" spans="1:8" x14ac:dyDescent="0.15">
      <c r="A120" s="3" t="s">
        <v>275</v>
      </c>
      <c r="B120" s="3" t="s">
        <v>159</v>
      </c>
      <c r="C120" s="3">
        <v>15000000</v>
      </c>
      <c r="D120" s="3">
        <v>22</v>
      </c>
      <c r="E120" s="3" t="s">
        <v>150</v>
      </c>
      <c r="F120" s="3" t="s">
        <v>149</v>
      </c>
      <c r="G120" s="3">
        <f t="shared" si="6"/>
        <v>750000</v>
      </c>
      <c r="H120" s="3">
        <f t="shared" si="7"/>
        <v>15749999.999999998</v>
      </c>
    </row>
    <row r="121" spans="1:8" x14ac:dyDescent="0.15">
      <c r="A121" s="3" t="s">
        <v>276</v>
      </c>
      <c r="B121" s="3" t="s">
        <v>155</v>
      </c>
      <c r="C121" s="5">
        <v>125000000</v>
      </c>
      <c r="D121" s="3">
        <v>21</v>
      </c>
      <c r="E121" s="3" t="s">
        <v>151</v>
      </c>
      <c r="F121" s="3" t="s">
        <v>149</v>
      </c>
      <c r="G121" s="3">
        <f t="shared" si="6"/>
        <v>0</v>
      </c>
      <c r="H121" s="3">
        <f t="shared" si="7"/>
        <v>119318181.81818181</v>
      </c>
    </row>
    <row r="122" spans="1:8" x14ac:dyDescent="0.15">
      <c r="A122" s="3" t="s">
        <v>277</v>
      </c>
      <c r="B122" s="3" t="s">
        <v>157</v>
      </c>
      <c r="C122" s="3">
        <v>20000000</v>
      </c>
      <c r="D122" s="3">
        <v>20</v>
      </c>
      <c r="E122" s="3"/>
      <c r="F122" s="3" t="s">
        <v>149</v>
      </c>
      <c r="G122" s="3">
        <f t="shared" si="6"/>
        <v>0</v>
      </c>
      <c r="H122" s="3">
        <f t="shared" si="7"/>
        <v>18181818.18181818</v>
      </c>
    </row>
    <row r="123" spans="1:8" x14ac:dyDescent="0.15">
      <c r="A123" s="3" t="s">
        <v>278</v>
      </c>
      <c r="B123" s="3" t="s">
        <v>159</v>
      </c>
      <c r="C123" s="3">
        <v>8000000</v>
      </c>
      <c r="D123" s="3">
        <v>22</v>
      </c>
      <c r="E123" s="3" t="s">
        <v>148</v>
      </c>
      <c r="F123" s="3" t="s">
        <v>149</v>
      </c>
      <c r="G123" s="3">
        <f t="shared" si="6"/>
        <v>800000</v>
      </c>
      <c r="H123" s="3">
        <f t="shared" si="7"/>
        <v>8800000</v>
      </c>
    </row>
    <row r="124" spans="1:8" x14ac:dyDescent="0.15">
      <c r="A124" s="3" t="s">
        <v>279</v>
      </c>
      <c r="B124" s="3" t="s">
        <v>155</v>
      </c>
      <c r="C124" s="3">
        <v>15000000</v>
      </c>
      <c r="D124" s="3">
        <v>22</v>
      </c>
      <c r="E124" s="3" t="s">
        <v>150</v>
      </c>
      <c r="F124" s="3" t="s">
        <v>149</v>
      </c>
      <c r="G124" s="3">
        <f t="shared" si="6"/>
        <v>750000</v>
      </c>
      <c r="H124" s="3">
        <f t="shared" si="7"/>
        <v>15749999.999999998</v>
      </c>
    </row>
    <row r="125" spans="1:8" x14ac:dyDescent="0.15">
      <c r="A125" s="3" t="s">
        <v>280</v>
      </c>
      <c r="B125" s="3" t="s">
        <v>157</v>
      </c>
      <c r="C125" s="5">
        <v>125000000</v>
      </c>
      <c r="D125" s="3">
        <v>21</v>
      </c>
      <c r="E125" s="3" t="s">
        <v>151</v>
      </c>
      <c r="F125" s="3" t="s">
        <v>149</v>
      </c>
      <c r="G125" s="3">
        <f t="shared" si="6"/>
        <v>0</v>
      </c>
      <c r="H125" s="3">
        <f t="shared" si="7"/>
        <v>119318181.81818181</v>
      </c>
    </row>
    <row r="126" spans="1:8" x14ac:dyDescent="0.15">
      <c r="A126" s="3" t="s">
        <v>281</v>
      </c>
      <c r="B126" s="3" t="s">
        <v>159</v>
      </c>
      <c r="C126" s="3">
        <v>20000000</v>
      </c>
      <c r="D126" s="3">
        <v>20</v>
      </c>
      <c r="E126" s="3" t="s">
        <v>148</v>
      </c>
      <c r="F126" s="3" t="s">
        <v>149</v>
      </c>
      <c r="G126" s="3">
        <f t="shared" si="6"/>
        <v>2000000</v>
      </c>
      <c r="H126" s="3">
        <f t="shared" si="7"/>
        <v>20181818.18181818</v>
      </c>
    </row>
    <row r="127" spans="1:8" x14ac:dyDescent="0.15">
      <c r="A127" s="3" t="s">
        <v>282</v>
      </c>
      <c r="B127" s="3" t="s">
        <v>155</v>
      </c>
      <c r="C127" s="3">
        <v>8000000</v>
      </c>
      <c r="D127" s="3">
        <v>22</v>
      </c>
      <c r="E127" s="3" t="s">
        <v>150</v>
      </c>
      <c r="F127" s="3" t="s">
        <v>149</v>
      </c>
      <c r="G127" s="3">
        <f t="shared" si="6"/>
        <v>400000</v>
      </c>
      <c r="H127" s="3">
        <f t="shared" si="7"/>
        <v>8400000</v>
      </c>
    </row>
    <row r="128" spans="1:8" x14ac:dyDescent="0.15">
      <c r="A128" s="3" t="s">
        <v>283</v>
      </c>
      <c r="B128" s="3" t="s">
        <v>157</v>
      </c>
      <c r="C128" s="3">
        <v>15000000</v>
      </c>
      <c r="D128" s="3">
        <v>22</v>
      </c>
      <c r="E128" s="3" t="s">
        <v>151</v>
      </c>
      <c r="F128" s="3" t="s">
        <v>149</v>
      </c>
      <c r="G128" s="3">
        <f t="shared" si="6"/>
        <v>0</v>
      </c>
      <c r="H128" s="3">
        <f t="shared" si="7"/>
        <v>14999999.999999998</v>
      </c>
    </row>
    <row r="129" spans="1:8" x14ac:dyDescent="0.15">
      <c r="A129" s="3" t="s">
        <v>284</v>
      </c>
      <c r="B129" s="3" t="s">
        <v>159</v>
      </c>
      <c r="C129" s="5">
        <v>125000000</v>
      </c>
      <c r="D129" s="3">
        <v>21</v>
      </c>
      <c r="E129" s="3"/>
      <c r="F129" s="3" t="s">
        <v>149</v>
      </c>
      <c r="G129" s="3">
        <f t="shared" si="6"/>
        <v>0</v>
      </c>
      <c r="H129" s="3">
        <f t="shared" si="7"/>
        <v>119318181.81818181</v>
      </c>
    </row>
    <row r="130" spans="1:8" x14ac:dyDescent="0.15">
      <c r="A130" s="3" t="s">
        <v>285</v>
      </c>
      <c r="B130" s="3" t="s">
        <v>155</v>
      </c>
      <c r="C130" s="3">
        <v>20000000</v>
      </c>
      <c r="D130" s="3">
        <v>20</v>
      </c>
      <c r="E130" s="3" t="s">
        <v>148</v>
      </c>
      <c r="F130" s="3" t="s">
        <v>149</v>
      </c>
      <c r="G130" s="3">
        <f t="shared" ref="G130:G161" si="8">IF(E130="A",C130*0.1,IF(E130="B",C130*0.05,0))</f>
        <v>2000000</v>
      </c>
      <c r="H130" s="3">
        <f t="shared" ref="H130:H161" si="9">(C130/22)*D130+G130</f>
        <v>20181818.18181818</v>
      </c>
    </row>
    <row r="131" spans="1:8" x14ac:dyDescent="0.15">
      <c r="A131" s="3" t="s">
        <v>286</v>
      </c>
      <c r="B131" s="3" t="s">
        <v>157</v>
      </c>
      <c r="C131" s="3">
        <v>8000000</v>
      </c>
      <c r="D131" s="3">
        <v>22</v>
      </c>
      <c r="E131" s="3" t="s">
        <v>150</v>
      </c>
      <c r="F131" s="3" t="s">
        <v>149</v>
      </c>
      <c r="G131" s="3">
        <f t="shared" si="8"/>
        <v>400000</v>
      </c>
      <c r="H131" s="3">
        <f t="shared" si="9"/>
        <v>8400000</v>
      </c>
    </row>
    <row r="132" spans="1:8" x14ac:dyDescent="0.15">
      <c r="A132" s="3" t="s">
        <v>287</v>
      </c>
      <c r="B132" s="3" t="s">
        <v>159</v>
      </c>
      <c r="C132" s="3">
        <v>15000000</v>
      </c>
      <c r="D132" s="3">
        <v>22</v>
      </c>
      <c r="E132" s="3" t="s">
        <v>151</v>
      </c>
      <c r="F132" s="3" t="s">
        <v>149</v>
      </c>
      <c r="G132" s="3">
        <f t="shared" si="8"/>
        <v>0</v>
      </c>
      <c r="H132" s="3">
        <f t="shared" si="9"/>
        <v>14999999.999999998</v>
      </c>
    </row>
    <row r="133" spans="1:8" x14ac:dyDescent="0.15">
      <c r="A133" s="3" t="s">
        <v>288</v>
      </c>
      <c r="B133" s="3" t="s">
        <v>155</v>
      </c>
      <c r="C133" s="5">
        <v>125000000</v>
      </c>
      <c r="D133" s="3">
        <v>21</v>
      </c>
      <c r="E133" s="3" t="s">
        <v>148</v>
      </c>
      <c r="F133" s="3" t="s">
        <v>149</v>
      </c>
      <c r="G133" s="3">
        <f t="shared" si="8"/>
        <v>12500000</v>
      </c>
      <c r="H133" s="3">
        <f t="shared" si="9"/>
        <v>131818181.81818181</v>
      </c>
    </row>
    <row r="134" spans="1:8" x14ac:dyDescent="0.15">
      <c r="A134" s="3" t="s">
        <v>289</v>
      </c>
      <c r="B134" s="3" t="s">
        <v>157</v>
      </c>
      <c r="C134" s="3">
        <v>20000000</v>
      </c>
      <c r="D134" s="3">
        <v>20</v>
      </c>
      <c r="E134" s="3" t="s">
        <v>150</v>
      </c>
      <c r="F134" s="3" t="s">
        <v>149</v>
      </c>
      <c r="G134" s="3">
        <f t="shared" si="8"/>
        <v>1000000</v>
      </c>
      <c r="H134" s="3">
        <f t="shared" si="9"/>
        <v>19181818.18181818</v>
      </c>
    </row>
    <row r="135" spans="1:8" x14ac:dyDescent="0.15">
      <c r="A135" s="3" t="s">
        <v>290</v>
      </c>
      <c r="B135" s="3" t="s">
        <v>159</v>
      </c>
      <c r="C135" s="3">
        <v>8000000</v>
      </c>
      <c r="D135" s="3">
        <v>22</v>
      </c>
      <c r="E135" s="3" t="s">
        <v>151</v>
      </c>
      <c r="F135" s="3" t="s">
        <v>149</v>
      </c>
      <c r="G135" s="3">
        <f t="shared" si="8"/>
        <v>0</v>
      </c>
      <c r="H135" s="3">
        <f t="shared" si="9"/>
        <v>8000000</v>
      </c>
    </row>
    <row r="136" spans="1:8" x14ac:dyDescent="0.15">
      <c r="A136" s="3" t="s">
        <v>291</v>
      </c>
      <c r="B136" s="3" t="s">
        <v>155</v>
      </c>
      <c r="C136" s="3">
        <v>15000000</v>
      </c>
      <c r="D136" s="3">
        <v>22</v>
      </c>
      <c r="E136" s="3"/>
      <c r="F136" s="3" t="s">
        <v>149</v>
      </c>
      <c r="G136" s="3">
        <f t="shared" si="8"/>
        <v>0</v>
      </c>
      <c r="H136" s="3">
        <f t="shared" si="9"/>
        <v>14999999.999999998</v>
      </c>
    </row>
    <row r="137" spans="1:8" x14ac:dyDescent="0.15">
      <c r="A137" s="3" t="s">
        <v>292</v>
      </c>
      <c r="B137" s="3" t="s">
        <v>157</v>
      </c>
      <c r="C137" s="5">
        <v>125000000</v>
      </c>
      <c r="D137" s="3">
        <v>21</v>
      </c>
      <c r="E137" s="3" t="s">
        <v>148</v>
      </c>
      <c r="F137" s="3" t="s">
        <v>149</v>
      </c>
      <c r="G137" s="3">
        <f t="shared" si="8"/>
        <v>12500000</v>
      </c>
      <c r="H137" s="3">
        <f t="shared" si="9"/>
        <v>131818181.81818181</v>
      </c>
    </row>
    <row r="138" spans="1:8" x14ac:dyDescent="0.15">
      <c r="A138" s="3" t="s">
        <v>293</v>
      </c>
      <c r="B138" s="3" t="s">
        <v>159</v>
      </c>
      <c r="C138" s="3">
        <v>20000000</v>
      </c>
      <c r="D138" s="3">
        <v>20</v>
      </c>
      <c r="E138" s="3" t="s">
        <v>150</v>
      </c>
      <c r="F138" s="3" t="s">
        <v>149</v>
      </c>
      <c r="G138" s="3">
        <f t="shared" si="8"/>
        <v>1000000</v>
      </c>
      <c r="H138" s="3">
        <f t="shared" si="9"/>
        <v>19181818.18181818</v>
      </c>
    </row>
    <row r="139" spans="1:8" x14ac:dyDescent="0.15">
      <c r="A139" s="3" t="s">
        <v>294</v>
      </c>
      <c r="B139" s="3" t="s">
        <v>155</v>
      </c>
      <c r="C139" s="3">
        <v>8000000</v>
      </c>
      <c r="D139" s="3">
        <v>22</v>
      </c>
      <c r="E139" s="3" t="s">
        <v>151</v>
      </c>
      <c r="F139" s="3" t="s">
        <v>149</v>
      </c>
      <c r="G139" s="3">
        <f t="shared" si="8"/>
        <v>0</v>
      </c>
      <c r="H139" s="3">
        <f t="shared" si="9"/>
        <v>8000000</v>
      </c>
    </row>
    <row r="140" spans="1:8" x14ac:dyDescent="0.15">
      <c r="A140" s="3" t="s">
        <v>295</v>
      </c>
      <c r="B140" s="3" t="s">
        <v>157</v>
      </c>
      <c r="C140" s="3">
        <v>15000000</v>
      </c>
      <c r="D140" s="3">
        <v>22</v>
      </c>
      <c r="E140" s="3" t="s">
        <v>148</v>
      </c>
      <c r="F140" s="3" t="s">
        <v>149</v>
      </c>
      <c r="G140" s="3">
        <f t="shared" si="8"/>
        <v>1500000</v>
      </c>
      <c r="H140" s="3">
        <f t="shared" si="9"/>
        <v>16499999.999999998</v>
      </c>
    </row>
    <row r="141" spans="1:8" x14ac:dyDescent="0.15">
      <c r="A141" s="3" t="s">
        <v>296</v>
      </c>
      <c r="B141" s="3" t="s">
        <v>159</v>
      </c>
      <c r="C141" s="5">
        <v>125000000</v>
      </c>
      <c r="D141" s="3">
        <v>21</v>
      </c>
      <c r="E141" s="3" t="s">
        <v>150</v>
      </c>
      <c r="F141" s="3" t="s">
        <v>149</v>
      </c>
      <c r="G141" s="3">
        <f t="shared" si="8"/>
        <v>6250000</v>
      </c>
      <c r="H141" s="3">
        <f t="shared" si="9"/>
        <v>125568181.81818181</v>
      </c>
    </row>
    <row r="142" spans="1:8" x14ac:dyDescent="0.15">
      <c r="A142" s="3" t="s">
        <v>297</v>
      </c>
      <c r="B142" s="3" t="s">
        <v>155</v>
      </c>
      <c r="C142" s="3">
        <v>20000000</v>
      </c>
      <c r="D142" s="3">
        <v>20</v>
      </c>
      <c r="E142" s="3" t="s">
        <v>151</v>
      </c>
      <c r="F142" s="3" t="s">
        <v>149</v>
      </c>
      <c r="G142" s="3">
        <f t="shared" si="8"/>
        <v>0</v>
      </c>
      <c r="H142" s="3">
        <f t="shared" si="9"/>
        <v>18181818.18181818</v>
      </c>
    </row>
    <row r="143" spans="1:8" x14ac:dyDescent="0.15">
      <c r="A143" s="3" t="s">
        <v>298</v>
      </c>
      <c r="B143" s="3" t="s">
        <v>157</v>
      </c>
      <c r="C143" s="3">
        <v>8000000</v>
      </c>
      <c r="D143" s="3">
        <v>22</v>
      </c>
      <c r="E143" s="3"/>
      <c r="F143" s="3" t="s">
        <v>149</v>
      </c>
      <c r="G143" s="3">
        <f t="shared" si="8"/>
        <v>0</v>
      </c>
      <c r="H143" s="3">
        <f t="shared" si="9"/>
        <v>8000000</v>
      </c>
    </row>
    <row r="144" spans="1:8" x14ac:dyDescent="0.15">
      <c r="A144" s="3" t="s">
        <v>299</v>
      </c>
      <c r="B144" s="3" t="s">
        <v>159</v>
      </c>
      <c r="C144" s="3">
        <v>15000000</v>
      </c>
      <c r="D144" s="3">
        <v>22</v>
      </c>
      <c r="E144" s="3" t="s">
        <v>148</v>
      </c>
      <c r="F144" s="3" t="s">
        <v>149</v>
      </c>
      <c r="G144" s="3">
        <f t="shared" si="8"/>
        <v>1500000</v>
      </c>
      <c r="H144" s="3">
        <f t="shared" si="9"/>
        <v>16499999.999999998</v>
      </c>
    </row>
    <row r="145" spans="1:8" x14ac:dyDescent="0.15">
      <c r="A145" s="3" t="s">
        <v>300</v>
      </c>
      <c r="B145" s="3" t="s">
        <v>155</v>
      </c>
      <c r="C145" s="5">
        <v>125000000</v>
      </c>
      <c r="D145" s="3">
        <v>21</v>
      </c>
      <c r="E145" s="3" t="s">
        <v>150</v>
      </c>
      <c r="F145" s="3" t="s">
        <v>149</v>
      </c>
      <c r="G145" s="3">
        <f t="shared" si="8"/>
        <v>6250000</v>
      </c>
      <c r="H145" s="3">
        <f t="shared" si="9"/>
        <v>125568181.81818181</v>
      </c>
    </row>
    <row r="146" spans="1:8" x14ac:dyDescent="0.15">
      <c r="A146" s="3" t="s">
        <v>301</v>
      </c>
      <c r="B146" s="3" t="s">
        <v>157</v>
      </c>
      <c r="C146" s="3">
        <v>20000000</v>
      </c>
      <c r="D146" s="3">
        <v>20</v>
      </c>
      <c r="E146" s="3" t="s">
        <v>151</v>
      </c>
      <c r="F146" s="3" t="s">
        <v>149</v>
      </c>
      <c r="G146" s="3">
        <f t="shared" si="8"/>
        <v>0</v>
      </c>
      <c r="H146" s="3">
        <f t="shared" si="9"/>
        <v>18181818.18181818</v>
      </c>
    </row>
    <row r="147" spans="1:8" x14ac:dyDescent="0.15">
      <c r="A147" s="3" t="s">
        <v>302</v>
      </c>
      <c r="B147" s="3" t="s">
        <v>159</v>
      </c>
      <c r="C147" s="3">
        <v>8000000</v>
      </c>
      <c r="D147" s="3">
        <v>22</v>
      </c>
      <c r="E147" s="3" t="s">
        <v>148</v>
      </c>
      <c r="F147" s="3" t="s">
        <v>149</v>
      </c>
      <c r="G147" s="3">
        <f t="shared" si="8"/>
        <v>800000</v>
      </c>
      <c r="H147" s="3">
        <f t="shared" si="9"/>
        <v>8800000</v>
      </c>
    </row>
    <row r="148" spans="1:8" x14ac:dyDescent="0.15">
      <c r="A148" s="3" t="s">
        <v>303</v>
      </c>
      <c r="B148" s="3" t="s">
        <v>155</v>
      </c>
      <c r="C148" s="3">
        <v>15000000</v>
      </c>
      <c r="D148" s="3">
        <v>22</v>
      </c>
      <c r="E148" s="3" t="s">
        <v>150</v>
      </c>
      <c r="F148" s="3" t="s">
        <v>149</v>
      </c>
      <c r="G148" s="3">
        <f t="shared" si="8"/>
        <v>750000</v>
      </c>
      <c r="H148" s="3">
        <f t="shared" si="9"/>
        <v>15749999.999999998</v>
      </c>
    </row>
    <row r="149" spans="1:8" x14ac:dyDescent="0.15">
      <c r="A149" s="3" t="s">
        <v>304</v>
      </c>
      <c r="B149" s="3" t="s">
        <v>157</v>
      </c>
      <c r="C149" s="5">
        <v>125000000</v>
      </c>
      <c r="D149" s="3">
        <v>21</v>
      </c>
      <c r="E149" s="3" t="s">
        <v>151</v>
      </c>
      <c r="F149" s="3" t="s">
        <v>149</v>
      </c>
      <c r="G149" s="3">
        <f t="shared" si="8"/>
        <v>0</v>
      </c>
      <c r="H149" s="3">
        <f t="shared" si="9"/>
        <v>119318181.81818181</v>
      </c>
    </row>
    <row r="150" spans="1:8" x14ac:dyDescent="0.15">
      <c r="A150" s="3" t="s">
        <v>305</v>
      </c>
      <c r="B150" s="3" t="s">
        <v>159</v>
      </c>
      <c r="C150" s="3">
        <v>20000000</v>
      </c>
      <c r="D150" s="3">
        <v>20</v>
      </c>
      <c r="E150" s="3"/>
      <c r="F150" s="3" t="s">
        <v>149</v>
      </c>
      <c r="G150" s="3">
        <f t="shared" si="8"/>
        <v>0</v>
      </c>
      <c r="H150" s="3">
        <f t="shared" si="9"/>
        <v>18181818.18181818</v>
      </c>
    </row>
    <row r="151" spans="1:8" x14ac:dyDescent="0.15">
      <c r="A151" s="3" t="s">
        <v>306</v>
      </c>
      <c r="B151" s="3" t="s">
        <v>155</v>
      </c>
      <c r="C151" s="3">
        <v>8000000</v>
      </c>
      <c r="D151" s="3">
        <v>22</v>
      </c>
      <c r="E151" s="3" t="s">
        <v>148</v>
      </c>
      <c r="F151" s="3" t="s">
        <v>149</v>
      </c>
      <c r="G151" s="3">
        <f t="shared" si="8"/>
        <v>800000</v>
      </c>
      <c r="H151" s="3">
        <f t="shared" si="9"/>
        <v>8800000</v>
      </c>
    </row>
    <row r="152" spans="1:8" x14ac:dyDescent="0.15">
      <c r="A152" s="3" t="s">
        <v>307</v>
      </c>
      <c r="B152" s="3" t="s">
        <v>157</v>
      </c>
      <c r="C152" s="3">
        <v>15000000</v>
      </c>
      <c r="D152" s="3">
        <v>22</v>
      </c>
      <c r="E152" s="3" t="s">
        <v>150</v>
      </c>
      <c r="F152" s="3" t="s">
        <v>149</v>
      </c>
      <c r="G152" s="3">
        <f t="shared" si="8"/>
        <v>750000</v>
      </c>
      <c r="H152" s="3">
        <f t="shared" si="9"/>
        <v>15749999.999999998</v>
      </c>
    </row>
    <row r="153" spans="1:8" x14ac:dyDescent="0.15">
      <c r="A153" s="3" t="s">
        <v>308</v>
      </c>
      <c r="B153" s="3" t="s">
        <v>159</v>
      </c>
      <c r="C153" s="5">
        <v>125000000</v>
      </c>
      <c r="D153" s="3">
        <v>21</v>
      </c>
      <c r="E153" s="3" t="s">
        <v>151</v>
      </c>
      <c r="F153" s="3" t="s">
        <v>149</v>
      </c>
      <c r="G153" s="3">
        <f t="shared" si="8"/>
        <v>0</v>
      </c>
      <c r="H153" s="3">
        <f t="shared" si="9"/>
        <v>119318181.81818181</v>
      </c>
    </row>
    <row r="154" spans="1:8" x14ac:dyDescent="0.15">
      <c r="A154" s="3" t="s">
        <v>309</v>
      </c>
      <c r="B154" s="3" t="s">
        <v>155</v>
      </c>
      <c r="C154" s="3">
        <v>20000000</v>
      </c>
      <c r="D154" s="3">
        <v>20</v>
      </c>
      <c r="E154" s="3" t="s">
        <v>148</v>
      </c>
      <c r="F154" s="3" t="s">
        <v>149</v>
      </c>
      <c r="G154" s="3">
        <f t="shared" si="8"/>
        <v>2000000</v>
      </c>
      <c r="H154" s="3">
        <f t="shared" si="9"/>
        <v>20181818.18181818</v>
      </c>
    </row>
    <row r="155" spans="1:8" x14ac:dyDescent="0.15">
      <c r="A155" s="3" t="s">
        <v>310</v>
      </c>
      <c r="B155" s="3" t="s">
        <v>157</v>
      </c>
      <c r="C155" s="3">
        <v>8000000</v>
      </c>
      <c r="D155" s="3">
        <v>22</v>
      </c>
      <c r="E155" s="3" t="s">
        <v>150</v>
      </c>
      <c r="F155" s="3" t="s">
        <v>149</v>
      </c>
      <c r="G155" s="3">
        <f t="shared" si="8"/>
        <v>400000</v>
      </c>
      <c r="H155" s="3">
        <f t="shared" si="9"/>
        <v>8400000</v>
      </c>
    </row>
    <row r="156" spans="1:8" x14ac:dyDescent="0.15">
      <c r="A156" s="3" t="s">
        <v>311</v>
      </c>
      <c r="B156" s="3" t="s">
        <v>159</v>
      </c>
      <c r="C156" s="3">
        <v>15000000</v>
      </c>
      <c r="D156" s="3">
        <v>22</v>
      </c>
      <c r="E156" s="3" t="s">
        <v>151</v>
      </c>
      <c r="F156" s="3" t="s">
        <v>149</v>
      </c>
      <c r="G156" s="3">
        <f t="shared" si="8"/>
        <v>0</v>
      </c>
      <c r="H156" s="3">
        <f t="shared" si="9"/>
        <v>14999999.999999998</v>
      </c>
    </row>
    <row r="157" spans="1:8" x14ac:dyDescent="0.15">
      <c r="A157" s="3" t="s">
        <v>312</v>
      </c>
      <c r="B157" s="3" t="s">
        <v>155</v>
      </c>
      <c r="C157" s="5">
        <v>125000000</v>
      </c>
      <c r="D157" s="3">
        <v>21</v>
      </c>
      <c r="E157" s="3"/>
      <c r="F157" s="3" t="s">
        <v>149</v>
      </c>
      <c r="G157" s="3">
        <f t="shared" si="8"/>
        <v>0</v>
      </c>
      <c r="H157" s="3">
        <f t="shared" si="9"/>
        <v>119318181.81818181</v>
      </c>
    </row>
    <row r="158" spans="1:8" x14ac:dyDescent="0.15">
      <c r="A158" s="3" t="s">
        <v>313</v>
      </c>
      <c r="B158" s="3" t="s">
        <v>157</v>
      </c>
      <c r="C158" s="3">
        <v>20000000</v>
      </c>
      <c r="D158" s="3">
        <v>20</v>
      </c>
      <c r="E158" s="3" t="s">
        <v>148</v>
      </c>
      <c r="F158" s="3" t="s">
        <v>149</v>
      </c>
      <c r="G158" s="3">
        <f t="shared" si="8"/>
        <v>2000000</v>
      </c>
      <c r="H158" s="3">
        <f t="shared" si="9"/>
        <v>20181818.18181818</v>
      </c>
    </row>
    <row r="159" spans="1:8" x14ac:dyDescent="0.15">
      <c r="A159" s="3" t="s">
        <v>314</v>
      </c>
      <c r="B159" s="3" t="s">
        <v>159</v>
      </c>
      <c r="C159" s="3">
        <v>8000000</v>
      </c>
      <c r="D159" s="3">
        <v>22</v>
      </c>
      <c r="E159" s="3" t="s">
        <v>150</v>
      </c>
      <c r="F159" s="3" t="s">
        <v>149</v>
      </c>
      <c r="G159" s="3">
        <f t="shared" si="8"/>
        <v>400000</v>
      </c>
      <c r="H159" s="3">
        <f t="shared" si="9"/>
        <v>8400000</v>
      </c>
    </row>
    <row r="160" spans="1:8" x14ac:dyDescent="0.15">
      <c r="A160" s="3" t="s">
        <v>315</v>
      </c>
      <c r="B160" s="3" t="s">
        <v>155</v>
      </c>
      <c r="C160" s="3">
        <v>15000000</v>
      </c>
      <c r="D160" s="3">
        <v>22</v>
      </c>
      <c r="E160" s="3" t="s">
        <v>151</v>
      </c>
      <c r="F160" s="3" t="s">
        <v>149</v>
      </c>
      <c r="G160" s="3">
        <f t="shared" si="8"/>
        <v>0</v>
      </c>
      <c r="H160" s="3">
        <f t="shared" si="9"/>
        <v>14999999.999999998</v>
      </c>
    </row>
    <row r="161" spans="1:8" x14ac:dyDescent="0.15">
      <c r="A161" s="3" t="s">
        <v>316</v>
      </c>
      <c r="B161" s="3" t="s">
        <v>157</v>
      </c>
      <c r="C161" s="5">
        <v>125000000</v>
      </c>
      <c r="D161" s="3">
        <v>21</v>
      </c>
      <c r="E161" s="3" t="s">
        <v>148</v>
      </c>
      <c r="F161" s="3" t="s">
        <v>149</v>
      </c>
      <c r="G161" s="3">
        <f t="shared" si="8"/>
        <v>12500000</v>
      </c>
      <c r="H161" s="3">
        <f t="shared" si="9"/>
        <v>131818181.81818181</v>
      </c>
    </row>
    <row r="162" spans="1:8" x14ac:dyDescent="0.15">
      <c r="A162" s="3" t="s">
        <v>317</v>
      </c>
      <c r="B162" s="3" t="s">
        <v>159</v>
      </c>
      <c r="C162" s="3">
        <v>20000000</v>
      </c>
      <c r="D162" s="3">
        <v>20</v>
      </c>
      <c r="E162" s="3" t="s">
        <v>150</v>
      </c>
      <c r="F162" s="3" t="s">
        <v>149</v>
      </c>
      <c r="G162" s="3">
        <f t="shared" ref="G162:G175" si="10">IF(E162="A",C162*0.1,IF(E162="B",C162*0.05,0))</f>
        <v>1000000</v>
      </c>
      <c r="H162" s="3">
        <f t="shared" ref="H162:H193" si="11">(C162/22)*D162+G162</f>
        <v>19181818.18181818</v>
      </c>
    </row>
    <row r="163" spans="1:8" x14ac:dyDescent="0.15">
      <c r="A163" s="3" t="s">
        <v>318</v>
      </c>
      <c r="B163" s="3" t="s">
        <v>155</v>
      </c>
      <c r="C163" s="3">
        <v>8000000</v>
      </c>
      <c r="D163" s="3">
        <v>22</v>
      </c>
      <c r="E163" s="3" t="s">
        <v>151</v>
      </c>
      <c r="F163" s="3" t="s">
        <v>149</v>
      </c>
      <c r="G163" s="3">
        <f t="shared" si="10"/>
        <v>0</v>
      </c>
      <c r="H163" s="3">
        <f t="shared" si="11"/>
        <v>8000000</v>
      </c>
    </row>
    <row r="164" spans="1:8" x14ac:dyDescent="0.15">
      <c r="A164" s="3" t="s">
        <v>319</v>
      </c>
      <c r="B164" s="3" t="s">
        <v>157</v>
      </c>
      <c r="C164" s="3">
        <v>15000000</v>
      </c>
      <c r="D164" s="3">
        <v>22</v>
      </c>
      <c r="E164" s="3"/>
      <c r="F164" s="3" t="s">
        <v>149</v>
      </c>
      <c r="G164" s="3">
        <f t="shared" si="10"/>
        <v>0</v>
      </c>
      <c r="H164" s="3">
        <f t="shared" si="11"/>
        <v>14999999.999999998</v>
      </c>
    </row>
    <row r="165" spans="1:8" x14ac:dyDescent="0.15">
      <c r="A165" s="3" t="s">
        <v>320</v>
      </c>
      <c r="B165" s="3" t="s">
        <v>159</v>
      </c>
      <c r="C165" s="5">
        <v>125000000</v>
      </c>
      <c r="D165" s="3">
        <v>21</v>
      </c>
      <c r="E165" s="3" t="s">
        <v>148</v>
      </c>
      <c r="F165" s="3" t="s">
        <v>149</v>
      </c>
      <c r="G165" s="3">
        <f t="shared" si="10"/>
        <v>12500000</v>
      </c>
      <c r="H165" s="3">
        <f t="shared" si="11"/>
        <v>131818181.81818181</v>
      </c>
    </row>
    <row r="166" spans="1:8" x14ac:dyDescent="0.15">
      <c r="A166" s="3" t="s">
        <v>321</v>
      </c>
      <c r="B166" s="3" t="s">
        <v>155</v>
      </c>
      <c r="C166" s="3">
        <v>20000000</v>
      </c>
      <c r="D166" s="3">
        <v>20</v>
      </c>
      <c r="E166" s="3" t="s">
        <v>150</v>
      </c>
      <c r="F166" s="3" t="s">
        <v>149</v>
      </c>
      <c r="G166" s="3">
        <f t="shared" si="10"/>
        <v>1000000</v>
      </c>
      <c r="H166" s="3">
        <f t="shared" si="11"/>
        <v>19181818.18181818</v>
      </c>
    </row>
    <row r="167" spans="1:8" x14ac:dyDescent="0.15">
      <c r="A167" s="3" t="s">
        <v>322</v>
      </c>
      <c r="B167" s="3" t="s">
        <v>157</v>
      </c>
      <c r="C167" s="3">
        <v>8000000</v>
      </c>
      <c r="D167" s="3">
        <v>22</v>
      </c>
      <c r="E167" s="3" t="s">
        <v>151</v>
      </c>
      <c r="F167" s="3" t="s">
        <v>149</v>
      </c>
      <c r="G167" s="3">
        <f t="shared" si="10"/>
        <v>0</v>
      </c>
      <c r="H167" s="3">
        <f t="shared" si="11"/>
        <v>8000000</v>
      </c>
    </row>
    <row r="168" spans="1:8" x14ac:dyDescent="0.15">
      <c r="A168" s="3" t="s">
        <v>323</v>
      </c>
      <c r="B168" s="3" t="s">
        <v>159</v>
      </c>
      <c r="C168" s="3">
        <v>15000000</v>
      </c>
      <c r="D168" s="3">
        <v>22</v>
      </c>
      <c r="E168" s="3" t="s">
        <v>148</v>
      </c>
      <c r="F168" s="3" t="s">
        <v>149</v>
      </c>
      <c r="G168" s="3">
        <f t="shared" si="10"/>
        <v>1500000</v>
      </c>
      <c r="H168" s="3">
        <f t="shared" si="11"/>
        <v>16499999.999999998</v>
      </c>
    </row>
    <row r="169" spans="1:8" x14ac:dyDescent="0.15">
      <c r="A169" s="3" t="s">
        <v>324</v>
      </c>
      <c r="B169" s="3" t="s">
        <v>155</v>
      </c>
      <c r="C169" s="5">
        <v>125000000</v>
      </c>
      <c r="D169" s="3">
        <v>21</v>
      </c>
      <c r="E169" s="3" t="s">
        <v>150</v>
      </c>
      <c r="F169" s="3" t="s">
        <v>149</v>
      </c>
      <c r="G169" s="3">
        <f t="shared" si="10"/>
        <v>6250000</v>
      </c>
      <c r="H169" s="3">
        <f t="shared" si="11"/>
        <v>125568181.81818181</v>
      </c>
    </row>
    <row r="170" spans="1:8" x14ac:dyDescent="0.15">
      <c r="A170" s="3" t="s">
        <v>325</v>
      </c>
      <c r="B170" s="3" t="s">
        <v>157</v>
      </c>
      <c r="C170" s="3">
        <v>20000000</v>
      </c>
      <c r="D170" s="3">
        <v>20</v>
      </c>
      <c r="E170" s="3" t="s">
        <v>151</v>
      </c>
      <c r="F170" s="3" t="s">
        <v>149</v>
      </c>
      <c r="G170" s="3">
        <f t="shared" si="10"/>
        <v>0</v>
      </c>
      <c r="H170" s="3">
        <f t="shared" si="11"/>
        <v>18181818.18181818</v>
      </c>
    </row>
    <row r="171" spans="1:8" x14ac:dyDescent="0.15">
      <c r="A171" s="3" t="s">
        <v>326</v>
      </c>
      <c r="B171" s="3" t="s">
        <v>159</v>
      </c>
      <c r="C171" s="3">
        <v>8000000</v>
      </c>
      <c r="D171" s="3">
        <v>22</v>
      </c>
      <c r="E171" s="3"/>
      <c r="F171" s="3" t="s">
        <v>149</v>
      </c>
      <c r="G171" s="3">
        <f t="shared" si="10"/>
        <v>0</v>
      </c>
      <c r="H171" s="3">
        <f t="shared" si="11"/>
        <v>8000000</v>
      </c>
    </row>
    <row r="172" spans="1:8" x14ac:dyDescent="0.15">
      <c r="A172" s="3" t="s">
        <v>327</v>
      </c>
      <c r="B172" s="3" t="s">
        <v>155</v>
      </c>
      <c r="C172" s="3">
        <v>15000000</v>
      </c>
      <c r="D172" s="3">
        <v>22</v>
      </c>
      <c r="E172" s="3" t="s">
        <v>148</v>
      </c>
      <c r="F172" s="3" t="s">
        <v>149</v>
      </c>
      <c r="G172" s="3">
        <f t="shared" si="10"/>
        <v>1500000</v>
      </c>
      <c r="H172" s="3">
        <f t="shared" si="11"/>
        <v>16499999.999999998</v>
      </c>
    </row>
    <row r="173" spans="1:8" x14ac:dyDescent="0.15">
      <c r="A173" s="3" t="s">
        <v>328</v>
      </c>
      <c r="B173" s="3" t="s">
        <v>157</v>
      </c>
      <c r="C173" s="5">
        <v>125000000</v>
      </c>
      <c r="D173" s="3">
        <v>21</v>
      </c>
      <c r="E173" s="3" t="s">
        <v>150</v>
      </c>
      <c r="F173" s="3" t="s">
        <v>149</v>
      </c>
      <c r="G173" s="3">
        <f t="shared" si="10"/>
        <v>6250000</v>
      </c>
      <c r="H173" s="3">
        <f t="shared" si="11"/>
        <v>125568181.81818181</v>
      </c>
    </row>
    <row r="174" spans="1:8" x14ac:dyDescent="0.15">
      <c r="A174" s="3" t="s">
        <v>329</v>
      </c>
      <c r="B174" s="3" t="s">
        <v>159</v>
      </c>
      <c r="C174" s="3">
        <v>20000000</v>
      </c>
      <c r="D174" s="3">
        <v>20</v>
      </c>
      <c r="E174" s="3" t="s">
        <v>151</v>
      </c>
      <c r="F174" s="3" t="s">
        <v>149</v>
      </c>
      <c r="G174" s="3">
        <f t="shared" si="10"/>
        <v>0</v>
      </c>
      <c r="H174" s="3">
        <f t="shared" si="11"/>
        <v>18181818.18181818</v>
      </c>
    </row>
    <row r="175" spans="1:8" x14ac:dyDescent="0.15">
      <c r="A175" s="3" t="s">
        <v>330</v>
      </c>
      <c r="B175" s="3" t="s">
        <v>155</v>
      </c>
      <c r="C175" s="3">
        <v>8000000</v>
      </c>
      <c r="D175" s="3">
        <v>22</v>
      </c>
      <c r="E175" s="3" t="s">
        <v>148</v>
      </c>
      <c r="F175" s="3" t="s">
        <v>149</v>
      </c>
      <c r="G175" s="3">
        <f t="shared" si="10"/>
        <v>800000</v>
      </c>
      <c r="H175" s="3">
        <f t="shared" si="11"/>
        <v>8800000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460A-B28D-4743-BA69-ACC9BF68968E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F559-9B30-D645-9CF5-DCA191A9218E}">
  <dimension ref="A1:L136"/>
  <sheetViews>
    <sheetView workbookViewId="0">
      <selection activeCell="L51" sqref="L51"/>
    </sheetView>
  </sheetViews>
  <sheetFormatPr baseColWidth="10" defaultRowHeight="13" x14ac:dyDescent="0.15"/>
  <cols>
    <col min="1" max="1" width="17.1640625" customWidth="1"/>
    <col min="2" max="2" width="13.1640625" customWidth="1"/>
    <col min="3" max="3" width="24.1640625" customWidth="1"/>
    <col min="4" max="4" width="12.1640625" bestFit="1" customWidth="1"/>
    <col min="5" max="5" width="29.6640625" customWidth="1"/>
    <col min="6" max="6" width="13.33203125" customWidth="1"/>
    <col min="7" max="7" width="11.6640625" customWidth="1"/>
    <col min="8" max="8" width="18.6640625" bestFit="1" customWidth="1"/>
    <col min="9" max="9" width="11.6640625" bestFit="1" customWidth="1"/>
    <col min="10" max="10" width="14.33203125" bestFit="1" customWidth="1"/>
    <col min="11" max="11" width="19" bestFit="1" customWidth="1"/>
    <col min="12" max="12" width="21.83203125" bestFit="1" customWidth="1"/>
  </cols>
  <sheetData>
    <row r="1" spans="1:12" ht="17" x14ac:dyDescent="0.2">
      <c r="A1" s="6" t="s">
        <v>336</v>
      </c>
      <c r="B1" s="6" t="s">
        <v>337</v>
      </c>
      <c r="C1" s="6" t="s">
        <v>338</v>
      </c>
      <c r="D1" s="6" t="s">
        <v>339</v>
      </c>
      <c r="E1" s="6" t="s">
        <v>340</v>
      </c>
      <c r="F1" s="6" t="s">
        <v>341</v>
      </c>
      <c r="G1" s="6" t="s">
        <v>342</v>
      </c>
      <c r="H1" s="6" t="s">
        <v>343</v>
      </c>
      <c r="I1" s="6" t="s">
        <v>577</v>
      </c>
      <c r="J1" s="6" t="s">
        <v>578</v>
      </c>
      <c r="K1" s="6" t="s">
        <v>579</v>
      </c>
      <c r="L1" s="6" t="s">
        <v>580</v>
      </c>
    </row>
    <row r="2" spans="1:12" ht="17" x14ac:dyDescent="0.2">
      <c r="A2" s="7" t="s">
        <v>344</v>
      </c>
      <c r="B2" s="8">
        <v>44928</v>
      </c>
      <c r="C2" s="7" t="s">
        <v>345</v>
      </c>
      <c r="D2" s="7" t="s">
        <v>346</v>
      </c>
      <c r="E2" s="7" t="s">
        <v>570</v>
      </c>
      <c r="F2" s="9"/>
      <c r="G2" s="7">
        <v>25000000</v>
      </c>
      <c r="H2" s="7" t="s">
        <v>348</v>
      </c>
      <c r="I2" s="7">
        <f t="shared" ref="I2:I33" si="0">G2*70%</f>
        <v>17500000</v>
      </c>
      <c r="J2" s="7">
        <f t="shared" ref="J2:J33" si="1">F2*G2</f>
        <v>0</v>
      </c>
      <c r="K2" s="7">
        <f t="shared" ref="K2:K33" si="2">J2-(F2*I2)</f>
        <v>0</v>
      </c>
      <c r="L2" s="10"/>
    </row>
    <row r="3" spans="1:12" ht="17" x14ac:dyDescent="0.2">
      <c r="A3" s="7" t="s">
        <v>349</v>
      </c>
      <c r="B3" s="8">
        <v>44929</v>
      </c>
      <c r="C3" s="7" t="s">
        <v>350</v>
      </c>
      <c r="D3" s="7" t="s">
        <v>351</v>
      </c>
      <c r="E3" s="7" t="s">
        <v>571</v>
      </c>
      <c r="F3" s="7">
        <v>2</v>
      </c>
      <c r="G3" s="7">
        <v>1800000</v>
      </c>
      <c r="H3" s="9"/>
      <c r="I3" s="7">
        <f t="shared" si="0"/>
        <v>1260000</v>
      </c>
      <c r="J3" s="7">
        <f t="shared" si="1"/>
        <v>3600000</v>
      </c>
      <c r="K3" s="7">
        <f t="shared" si="2"/>
        <v>1080000</v>
      </c>
      <c r="L3" s="10">
        <f t="shared" ref="L2:L33" si="3">K3/J3</f>
        <v>0.3</v>
      </c>
    </row>
    <row r="4" spans="1:12" ht="17" x14ac:dyDescent="0.2">
      <c r="A4" s="7" t="s">
        <v>353</v>
      </c>
      <c r="B4" s="8">
        <v>44929</v>
      </c>
      <c r="C4" s="7" t="s">
        <v>354</v>
      </c>
      <c r="D4" s="7" t="s">
        <v>355</v>
      </c>
      <c r="E4" s="7" t="s">
        <v>572</v>
      </c>
      <c r="F4" s="7">
        <v>1</v>
      </c>
      <c r="G4" s="7">
        <v>2200000</v>
      </c>
      <c r="H4" s="7" t="s">
        <v>357</v>
      </c>
      <c r="I4" s="7">
        <f t="shared" si="0"/>
        <v>1540000</v>
      </c>
      <c r="J4" s="7">
        <f t="shared" si="1"/>
        <v>2200000</v>
      </c>
      <c r="K4" s="7">
        <f t="shared" si="2"/>
        <v>660000</v>
      </c>
      <c r="L4" s="10">
        <f t="shared" si="3"/>
        <v>0.3</v>
      </c>
    </row>
    <row r="5" spans="1:12" ht="17" x14ac:dyDescent="0.2">
      <c r="A5" s="7" t="s">
        <v>358</v>
      </c>
      <c r="B5" s="8">
        <v>44930</v>
      </c>
      <c r="C5" s="7" t="s">
        <v>359</v>
      </c>
      <c r="D5" s="9"/>
      <c r="E5" s="7" t="s">
        <v>573</v>
      </c>
      <c r="F5" s="9"/>
      <c r="G5" s="7">
        <v>6500000</v>
      </c>
      <c r="H5" s="9"/>
      <c r="I5" s="7">
        <f t="shared" si="0"/>
        <v>4550000</v>
      </c>
      <c r="J5" s="7">
        <f t="shared" si="1"/>
        <v>0</v>
      </c>
      <c r="K5" s="7">
        <f t="shared" si="2"/>
        <v>0</v>
      </c>
      <c r="L5" s="10"/>
    </row>
    <row r="6" spans="1:12" ht="17" x14ac:dyDescent="0.2">
      <c r="A6" s="7" t="s">
        <v>361</v>
      </c>
      <c r="B6" s="8">
        <v>44931</v>
      </c>
      <c r="C6" s="7" t="s">
        <v>362</v>
      </c>
      <c r="D6" s="7" t="s">
        <v>351</v>
      </c>
      <c r="E6" s="7" t="s">
        <v>574</v>
      </c>
      <c r="F6" s="7">
        <v>3</v>
      </c>
      <c r="G6" s="7">
        <v>2500000</v>
      </c>
      <c r="H6" s="7" t="s">
        <v>364</v>
      </c>
      <c r="I6" s="7">
        <f t="shared" si="0"/>
        <v>1750000</v>
      </c>
      <c r="J6" s="7">
        <f t="shared" si="1"/>
        <v>7500000</v>
      </c>
      <c r="K6" s="7">
        <f t="shared" si="2"/>
        <v>2250000</v>
      </c>
      <c r="L6" s="10">
        <f t="shared" si="3"/>
        <v>0.3</v>
      </c>
    </row>
    <row r="7" spans="1:12" ht="17" x14ac:dyDescent="0.2">
      <c r="A7" s="7" t="s">
        <v>365</v>
      </c>
      <c r="B7" s="8">
        <v>44931</v>
      </c>
      <c r="C7" s="7" t="s">
        <v>345</v>
      </c>
      <c r="D7" s="7" t="s">
        <v>346</v>
      </c>
      <c r="E7" s="7" t="s">
        <v>575</v>
      </c>
      <c r="F7" s="7">
        <v>1</v>
      </c>
      <c r="G7" s="7">
        <v>7500000</v>
      </c>
      <c r="H7" s="9"/>
      <c r="I7" s="7">
        <f t="shared" si="0"/>
        <v>5250000</v>
      </c>
      <c r="J7" s="7">
        <f t="shared" si="1"/>
        <v>7500000</v>
      </c>
      <c r="K7" s="7">
        <f t="shared" si="2"/>
        <v>2250000</v>
      </c>
      <c r="L7" s="10">
        <f t="shared" si="3"/>
        <v>0.3</v>
      </c>
    </row>
    <row r="8" spans="1:12" ht="17" x14ac:dyDescent="0.2">
      <c r="A8" s="7" t="s">
        <v>367</v>
      </c>
      <c r="B8" s="8">
        <v>44932</v>
      </c>
      <c r="C8" s="7" t="s">
        <v>350</v>
      </c>
      <c r="D8" s="7" t="s">
        <v>351</v>
      </c>
      <c r="E8" s="7" t="s">
        <v>570</v>
      </c>
      <c r="F8" s="7">
        <v>1</v>
      </c>
      <c r="G8" s="7">
        <v>25000000</v>
      </c>
      <c r="H8" s="9"/>
      <c r="I8" s="7">
        <f t="shared" si="0"/>
        <v>17500000</v>
      </c>
      <c r="J8" s="7">
        <f t="shared" si="1"/>
        <v>25000000</v>
      </c>
      <c r="K8" s="7">
        <f t="shared" si="2"/>
        <v>7500000</v>
      </c>
      <c r="L8" s="10">
        <f t="shared" si="3"/>
        <v>0.3</v>
      </c>
    </row>
    <row r="9" spans="1:12" ht="17" x14ac:dyDescent="0.2">
      <c r="A9" s="7" t="s">
        <v>368</v>
      </c>
      <c r="B9" s="8">
        <v>44933</v>
      </c>
      <c r="C9" s="7" t="s">
        <v>354</v>
      </c>
      <c r="D9" s="7" t="s">
        <v>355</v>
      </c>
      <c r="E9" s="7" t="s">
        <v>571</v>
      </c>
      <c r="F9" s="7">
        <v>1</v>
      </c>
      <c r="G9" s="7">
        <v>1800000</v>
      </c>
      <c r="H9" s="9"/>
      <c r="I9" s="7">
        <f t="shared" si="0"/>
        <v>1260000</v>
      </c>
      <c r="J9" s="7">
        <f t="shared" si="1"/>
        <v>1800000</v>
      </c>
      <c r="K9" s="7">
        <f t="shared" si="2"/>
        <v>540000</v>
      </c>
      <c r="L9" s="10">
        <f t="shared" si="3"/>
        <v>0.3</v>
      </c>
    </row>
    <row r="10" spans="1:12" ht="17" x14ac:dyDescent="0.2">
      <c r="A10" s="7" t="s">
        <v>369</v>
      </c>
      <c r="B10" s="8">
        <v>44934</v>
      </c>
      <c r="C10" s="7" t="s">
        <v>359</v>
      </c>
      <c r="D10" s="9"/>
      <c r="E10" s="7" t="s">
        <v>572</v>
      </c>
      <c r="F10" s="7">
        <v>2</v>
      </c>
      <c r="G10" s="7">
        <v>2200000</v>
      </c>
      <c r="H10" s="9"/>
      <c r="I10" s="7">
        <f t="shared" si="0"/>
        <v>1540000</v>
      </c>
      <c r="J10" s="7">
        <f t="shared" si="1"/>
        <v>4400000</v>
      </c>
      <c r="K10" s="7">
        <f t="shared" si="2"/>
        <v>1320000</v>
      </c>
      <c r="L10" s="10">
        <f t="shared" si="3"/>
        <v>0.3</v>
      </c>
    </row>
    <row r="11" spans="1:12" ht="17" x14ac:dyDescent="0.2">
      <c r="A11" s="7" t="s">
        <v>370</v>
      </c>
      <c r="B11" s="8">
        <v>44934</v>
      </c>
      <c r="C11" s="7" t="s">
        <v>362</v>
      </c>
      <c r="D11" s="7" t="s">
        <v>351</v>
      </c>
      <c r="E11" s="7" t="s">
        <v>573</v>
      </c>
      <c r="F11" s="7">
        <v>1</v>
      </c>
      <c r="G11" s="7">
        <v>6500000</v>
      </c>
      <c r="H11" s="9"/>
      <c r="I11" s="7">
        <f t="shared" si="0"/>
        <v>4550000</v>
      </c>
      <c r="J11" s="7">
        <f t="shared" si="1"/>
        <v>6500000</v>
      </c>
      <c r="K11" s="7">
        <f t="shared" si="2"/>
        <v>1950000</v>
      </c>
      <c r="L11" s="10">
        <f t="shared" si="3"/>
        <v>0.3</v>
      </c>
    </row>
    <row r="12" spans="1:12" ht="17" x14ac:dyDescent="0.2">
      <c r="A12" s="7" t="s">
        <v>371</v>
      </c>
      <c r="B12" s="8">
        <v>44935</v>
      </c>
      <c r="C12" s="7" t="s">
        <v>345</v>
      </c>
      <c r="D12" s="7" t="s">
        <v>346</v>
      </c>
      <c r="E12" s="7" t="s">
        <v>574</v>
      </c>
      <c r="F12" s="7">
        <v>1</v>
      </c>
      <c r="G12" s="7">
        <v>2500000</v>
      </c>
      <c r="H12" s="7" t="s">
        <v>372</v>
      </c>
      <c r="I12" s="7">
        <f t="shared" si="0"/>
        <v>1750000</v>
      </c>
      <c r="J12" s="7">
        <f t="shared" si="1"/>
        <v>2500000</v>
      </c>
      <c r="K12" s="7">
        <f t="shared" si="2"/>
        <v>750000</v>
      </c>
      <c r="L12" s="10">
        <f t="shared" si="3"/>
        <v>0.3</v>
      </c>
    </row>
    <row r="13" spans="1:12" ht="17" x14ac:dyDescent="0.2">
      <c r="A13" s="7" t="s">
        <v>373</v>
      </c>
      <c r="B13" s="8">
        <v>44936</v>
      </c>
      <c r="C13" s="7" t="s">
        <v>350</v>
      </c>
      <c r="D13" s="7" t="s">
        <v>351</v>
      </c>
      <c r="E13" s="7" t="s">
        <v>575</v>
      </c>
      <c r="F13" s="9"/>
      <c r="G13" s="7">
        <v>7500000</v>
      </c>
      <c r="H13" s="9"/>
      <c r="I13" s="7">
        <f t="shared" si="0"/>
        <v>5250000</v>
      </c>
      <c r="J13" s="7">
        <f t="shared" si="1"/>
        <v>0</v>
      </c>
      <c r="K13" s="7">
        <f t="shared" si="2"/>
        <v>0</v>
      </c>
      <c r="L13" s="10"/>
    </row>
    <row r="14" spans="1:12" ht="17" x14ac:dyDescent="0.2">
      <c r="A14" s="7" t="s">
        <v>374</v>
      </c>
      <c r="B14" s="8">
        <v>44937</v>
      </c>
      <c r="C14" s="7" t="s">
        <v>354</v>
      </c>
      <c r="D14" s="7" t="s">
        <v>355</v>
      </c>
      <c r="E14" s="7" t="s">
        <v>570</v>
      </c>
      <c r="F14" s="7">
        <v>1</v>
      </c>
      <c r="G14" s="7">
        <v>25000000</v>
      </c>
      <c r="H14" s="9"/>
      <c r="I14" s="7">
        <f t="shared" si="0"/>
        <v>17500000</v>
      </c>
      <c r="J14" s="7">
        <f t="shared" si="1"/>
        <v>25000000</v>
      </c>
      <c r="K14" s="7">
        <f t="shared" si="2"/>
        <v>7500000</v>
      </c>
      <c r="L14" s="10">
        <f t="shared" si="3"/>
        <v>0.3</v>
      </c>
    </row>
    <row r="15" spans="1:12" ht="17" x14ac:dyDescent="0.2">
      <c r="A15" s="7" t="s">
        <v>375</v>
      </c>
      <c r="B15" s="8">
        <v>44938</v>
      </c>
      <c r="C15" s="7" t="s">
        <v>359</v>
      </c>
      <c r="D15" s="9"/>
      <c r="E15" s="7" t="s">
        <v>571</v>
      </c>
      <c r="F15" s="7">
        <v>1</v>
      </c>
      <c r="G15" s="7">
        <v>1800000</v>
      </c>
      <c r="H15" s="9"/>
      <c r="I15" s="7">
        <f t="shared" si="0"/>
        <v>1260000</v>
      </c>
      <c r="J15" s="7">
        <f t="shared" si="1"/>
        <v>1800000</v>
      </c>
      <c r="K15" s="7">
        <f t="shared" si="2"/>
        <v>540000</v>
      </c>
      <c r="L15" s="10">
        <f t="shared" si="3"/>
        <v>0.3</v>
      </c>
    </row>
    <row r="16" spans="1:12" ht="17" x14ac:dyDescent="0.2">
      <c r="A16" s="7" t="s">
        <v>377</v>
      </c>
      <c r="B16" s="8">
        <v>44938</v>
      </c>
      <c r="C16" s="7" t="s">
        <v>362</v>
      </c>
      <c r="D16" s="7" t="s">
        <v>351</v>
      </c>
      <c r="E16" s="7" t="s">
        <v>572</v>
      </c>
      <c r="F16" s="7">
        <v>1</v>
      </c>
      <c r="G16" s="7">
        <v>2200000</v>
      </c>
      <c r="H16" s="7" t="s">
        <v>378</v>
      </c>
      <c r="I16" s="7">
        <f t="shared" si="0"/>
        <v>1540000</v>
      </c>
      <c r="J16" s="7">
        <f t="shared" si="1"/>
        <v>2200000</v>
      </c>
      <c r="K16" s="7">
        <f t="shared" si="2"/>
        <v>660000</v>
      </c>
      <c r="L16" s="10">
        <f t="shared" si="3"/>
        <v>0.3</v>
      </c>
    </row>
    <row r="17" spans="1:12" ht="17" x14ac:dyDescent="0.2">
      <c r="A17" s="7" t="s">
        <v>379</v>
      </c>
      <c r="B17" s="7" t="s">
        <v>380</v>
      </c>
      <c r="C17" s="7" t="s">
        <v>345</v>
      </c>
      <c r="D17" s="7" t="s">
        <v>346</v>
      </c>
      <c r="E17" s="7" t="s">
        <v>573</v>
      </c>
      <c r="F17" s="7">
        <v>2</v>
      </c>
      <c r="G17" s="7">
        <v>6500000</v>
      </c>
      <c r="H17" s="9"/>
      <c r="I17" s="7">
        <f t="shared" si="0"/>
        <v>4550000</v>
      </c>
      <c r="J17" s="7">
        <f t="shared" si="1"/>
        <v>13000000</v>
      </c>
      <c r="K17" s="7">
        <f t="shared" si="2"/>
        <v>3900000</v>
      </c>
      <c r="L17" s="10">
        <f t="shared" si="3"/>
        <v>0.3</v>
      </c>
    </row>
    <row r="18" spans="1:12" ht="17" x14ac:dyDescent="0.2">
      <c r="A18" s="7" t="s">
        <v>381</v>
      </c>
      <c r="B18" s="7" t="s">
        <v>382</v>
      </c>
      <c r="C18" s="7" t="s">
        <v>350</v>
      </c>
      <c r="D18" s="7" t="s">
        <v>351</v>
      </c>
      <c r="E18" s="7" t="s">
        <v>574</v>
      </c>
      <c r="F18" s="7">
        <v>1</v>
      </c>
      <c r="G18" s="7">
        <v>2500000</v>
      </c>
      <c r="H18" s="9"/>
      <c r="I18" s="7">
        <f t="shared" si="0"/>
        <v>1750000</v>
      </c>
      <c r="J18" s="7">
        <f t="shared" si="1"/>
        <v>2500000</v>
      </c>
      <c r="K18" s="7">
        <f t="shared" si="2"/>
        <v>750000</v>
      </c>
      <c r="L18" s="10">
        <f t="shared" si="3"/>
        <v>0.3</v>
      </c>
    </row>
    <row r="19" spans="1:12" ht="17" x14ac:dyDescent="0.2">
      <c r="A19" s="7" t="s">
        <v>383</v>
      </c>
      <c r="B19" s="7" t="s">
        <v>384</v>
      </c>
      <c r="C19" s="7" t="s">
        <v>354</v>
      </c>
      <c r="D19" s="7" t="s">
        <v>355</v>
      </c>
      <c r="E19" s="7" t="s">
        <v>575</v>
      </c>
      <c r="F19" s="7">
        <v>1</v>
      </c>
      <c r="G19" s="7">
        <v>7500000</v>
      </c>
      <c r="H19" s="9"/>
      <c r="I19" s="7">
        <f t="shared" si="0"/>
        <v>5250000</v>
      </c>
      <c r="J19" s="7">
        <f t="shared" si="1"/>
        <v>7500000</v>
      </c>
      <c r="K19" s="7">
        <f t="shared" si="2"/>
        <v>2250000</v>
      </c>
      <c r="L19" s="10">
        <f t="shared" si="3"/>
        <v>0.3</v>
      </c>
    </row>
    <row r="20" spans="1:12" ht="17" x14ac:dyDescent="0.2">
      <c r="A20" s="7" t="s">
        <v>385</v>
      </c>
      <c r="B20" s="7" t="s">
        <v>384</v>
      </c>
      <c r="C20" s="7" t="s">
        <v>359</v>
      </c>
      <c r="D20" s="9"/>
      <c r="E20" s="7" t="s">
        <v>570</v>
      </c>
      <c r="F20" s="7">
        <v>1</v>
      </c>
      <c r="G20" s="7">
        <v>25000000</v>
      </c>
      <c r="H20" s="9"/>
      <c r="I20" s="7">
        <f t="shared" si="0"/>
        <v>17500000</v>
      </c>
      <c r="J20" s="7">
        <f t="shared" si="1"/>
        <v>25000000</v>
      </c>
      <c r="K20" s="7">
        <f t="shared" si="2"/>
        <v>7500000</v>
      </c>
      <c r="L20" s="10">
        <f t="shared" si="3"/>
        <v>0.3</v>
      </c>
    </row>
    <row r="21" spans="1:12" ht="17" x14ac:dyDescent="0.2">
      <c r="A21" s="7" t="s">
        <v>387</v>
      </c>
      <c r="B21" s="7" t="s">
        <v>388</v>
      </c>
      <c r="C21" s="7" t="s">
        <v>362</v>
      </c>
      <c r="D21" s="7" t="s">
        <v>351</v>
      </c>
      <c r="E21" s="7" t="s">
        <v>571</v>
      </c>
      <c r="F21" s="7">
        <v>3</v>
      </c>
      <c r="G21" s="7">
        <v>1800000</v>
      </c>
      <c r="H21" s="9"/>
      <c r="I21" s="7">
        <f t="shared" si="0"/>
        <v>1260000</v>
      </c>
      <c r="J21" s="7">
        <f t="shared" si="1"/>
        <v>5400000</v>
      </c>
      <c r="K21" s="7">
        <f t="shared" si="2"/>
        <v>1620000</v>
      </c>
      <c r="L21" s="10">
        <f t="shared" si="3"/>
        <v>0.3</v>
      </c>
    </row>
    <row r="22" spans="1:12" ht="17" x14ac:dyDescent="0.2">
      <c r="A22" s="7" t="s">
        <v>389</v>
      </c>
      <c r="B22" s="7" t="s">
        <v>390</v>
      </c>
      <c r="C22" s="7" t="s">
        <v>345</v>
      </c>
      <c r="D22" s="7" t="s">
        <v>346</v>
      </c>
      <c r="E22" s="7" t="s">
        <v>572</v>
      </c>
      <c r="F22" s="7">
        <v>1</v>
      </c>
      <c r="G22" s="7">
        <v>2200000</v>
      </c>
      <c r="H22" s="9"/>
      <c r="I22" s="7">
        <f t="shared" si="0"/>
        <v>1540000</v>
      </c>
      <c r="J22" s="7">
        <f t="shared" si="1"/>
        <v>2200000</v>
      </c>
      <c r="K22" s="7">
        <f t="shared" si="2"/>
        <v>660000</v>
      </c>
      <c r="L22" s="10">
        <f t="shared" si="3"/>
        <v>0.3</v>
      </c>
    </row>
    <row r="23" spans="1:12" ht="17" x14ac:dyDescent="0.2">
      <c r="A23" s="7" t="s">
        <v>391</v>
      </c>
      <c r="B23" s="7" t="s">
        <v>392</v>
      </c>
      <c r="C23" s="7" t="s">
        <v>350</v>
      </c>
      <c r="D23" s="7" t="s">
        <v>351</v>
      </c>
      <c r="E23" s="7" t="s">
        <v>573</v>
      </c>
      <c r="F23" s="7">
        <v>1</v>
      </c>
      <c r="G23" s="7">
        <v>6500000</v>
      </c>
      <c r="H23" s="7" t="s">
        <v>393</v>
      </c>
      <c r="I23" s="7">
        <f t="shared" si="0"/>
        <v>4550000</v>
      </c>
      <c r="J23" s="7">
        <f t="shared" si="1"/>
        <v>6500000</v>
      </c>
      <c r="K23" s="7">
        <f t="shared" si="2"/>
        <v>1950000</v>
      </c>
      <c r="L23" s="10">
        <f t="shared" si="3"/>
        <v>0.3</v>
      </c>
    </row>
    <row r="24" spans="1:12" ht="17" x14ac:dyDescent="0.2">
      <c r="A24" s="7" t="s">
        <v>394</v>
      </c>
      <c r="B24" s="7" t="s">
        <v>392</v>
      </c>
      <c r="C24" s="7" t="s">
        <v>354</v>
      </c>
      <c r="D24" s="7" t="s">
        <v>355</v>
      </c>
      <c r="E24" s="7" t="s">
        <v>574</v>
      </c>
      <c r="F24" s="7">
        <v>2</v>
      </c>
      <c r="G24" s="7">
        <v>2500000</v>
      </c>
      <c r="H24" s="9"/>
      <c r="I24" s="7">
        <f t="shared" si="0"/>
        <v>1750000</v>
      </c>
      <c r="J24" s="7">
        <f t="shared" si="1"/>
        <v>5000000</v>
      </c>
      <c r="K24" s="7">
        <f t="shared" si="2"/>
        <v>1500000</v>
      </c>
      <c r="L24" s="10">
        <f t="shared" si="3"/>
        <v>0.3</v>
      </c>
    </row>
    <row r="25" spans="1:12" ht="17" x14ac:dyDescent="0.2">
      <c r="A25" s="7" t="s">
        <v>395</v>
      </c>
      <c r="B25" s="7" t="s">
        <v>396</v>
      </c>
      <c r="C25" s="7" t="s">
        <v>359</v>
      </c>
      <c r="D25" s="9"/>
      <c r="E25" s="7" t="s">
        <v>575</v>
      </c>
      <c r="F25" s="7">
        <v>1</v>
      </c>
      <c r="G25" s="7">
        <v>7500000</v>
      </c>
      <c r="H25" s="9"/>
      <c r="I25" s="7">
        <f t="shared" si="0"/>
        <v>5250000</v>
      </c>
      <c r="J25" s="7">
        <f t="shared" si="1"/>
        <v>7500000</v>
      </c>
      <c r="K25" s="7">
        <f t="shared" si="2"/>
        <v>2250000</v>
      </c>
      <c r="L25" s="10">
        <f t="shared" si="3"/>
        <v>0.3</v>
      </c>
    </row>
    <row r="26" spans="1:12" ht="17" x14ac:dyDescent="0.2">
      <c r="A26" s="7" t="s">
        <v>397</v>
      </c>
      <c r="B26" s="7" t="s">
        <v>398</v>
      </c>
      <c r="C26" s="7" t="s">
        <v>362</v>
      </c>
      <c r="D26" s="7" t="s">
        <v>351</v>
      </c>
      <c r="E26" s="7" t="s">
        <v>570</v>
      </c>
      <c r="F26" s="7">
        <v>1</v>
      </c>
      <c r="G26" s="7">
        <v>25000000</v>
      </c>
      <c r="H26" s="9"/>
      <c r="I26" s="7">
        <f t="shared" si="0"/>
        <v>17500000</v>
      </c>
      <c r="J26" s="7">
        <f t="shared" si="1"/>
        <v>25000000</v>
      </c>
      <c r="K26" s="7">
        <f t="shared" si="2"/>
        <v>7500000</v>
      </c>
      <c r="L26" s="10">
        <f t="shared" si="3"/>
        <v>0.3</v>
      </c>
    </row>
    <row r="27" spans="1:12" ht="17" x14ac:dyDescent="0.2">
      <c r="A27" s="7" t="s">
        <v>397</v>
      </c>
      <c r="B27" s="7" t="s">
        <v>398</v>
      </c>
      <c r="C27" s="7" t="s">
        <v>362</v>
      </c>
      <c r="D27" s="7" t="s">
        <v>351</v>
      </c>
      <c r="E27" s="7" t="s">
        <v>570</v>
      </c>
      <c r="F27" s="7">
        <v>1</v>
      </c>
      <c r="G27" s="7">
        <v>25000000</v>
      </c>
      <c r="H27" s="9"/>
      <c r="I27" s="7">
        <f t="shared" si="0"/>
        <v>17500000</v>
      </c>
      <c r="J27" s="7">
        <f t="shared" si="1"/>
        <v>25000000</v>
      </c>
      <c r="K27" s="7">
        <f t="shared" si="2"/>
        <v>7500000</v>
      </c>
      <c r="L27" s="10">
        <f t="shared" si="3"/>
        <v>0.3</v>
      </c>
    </row>
    <row r="28" spans="1:12" ht="17" x14ac:dyDescent="0.2">
      <c r="A28" s="7" t="s">
        <v>399</v>
      </c>
      <c r="B28" s="7" t="s">
        <v>400</v>
      </c>
      <c r="C28" s="7" t="s">
        <v>345</v>
      </c>
      <c r="D28" s="7" t="s">
        <v>346</v>
      </c>
      <c r="E28" s="7" t="s">
        <v>571</v>
      </c>
      <c r="F28" s="7">
        <v>1</v>
      </c>
      <c r="G28" s="7">
        <v>1800000</v>
      </c>
      <c r="H28" s="9"/>
      <c r="I28" s="7">
        <f t="shared" si="0"/>
        <v>1260000</v>
      </c>
      <c r="J28" s="7">
        <f t="shared" si="1"/>
        <v>1800000</v>
      </c>
      <c r="K28" s="7">
        <f t="shared" si="2"/>
        <v>540000</v>
      </c>
      <c r="L28" s="10">
        <f t="shared" si="3"/>
        <v>0.3</v>
      </c>
    </row>
    <row r="29" spans="1:12" ht="17" x14ac:dyDescent="0.2">
      <c r="A29" s="7" t="s">
        <v>402</v>
      </c>
      <c r="B29" s="7" t="s">
        <v>403</v>
      </c>
      <c r="C29" s="7" t="s">
        <v>350</v>
      </c>
      <c r="D29" s="7" t="s">
        <v>351</v>
      </c>
      <c r="E29" s="7" t="s">
        <v>572</v>
      </c>
      <c r="F29" s="7">
        <v>1</v>
      </c>
      <c r="G29" s="7">
        <v>2200000</v>
      </c>
      <c r="H29" s="9"/>
      <c r="I29" s="7">
        <f t="shared" si="0"/>
        <v>1540000</v>
      </c>
      <c r="J29" s="7">
        <f t="shared" si="1"/>
        <v>2200000</v>
      </c>
      <c r="K29" s="7">
        <f t="shared" si="2"/>
        <v>660000</v>
      </c>
      <c r="L29" s="10">
        <f t="shared" si="3"/>
        <v>0.3</v>
      </c>
    </row>
    <row r="30" spans="1:12" ht="17" x14ac:dyDescent="0.2">
      <c r="A30" s="7" t="s">
        <v>404</v>
      </c>
      <c r="B30" s="7" t="s">
        <v>405</v>
      </c>
      <c r="C30" s="7" t="s">
        <v>354</v>
      </c>
      <c r="D30" s="7" t="s">
        <v>355</v>
      </c>
      <c r="E30" s="7" t="s">
        <v>573</v>
      </c>
      <c r="F30" s="7">
        <v>1</v>
      </c>
      <c r="G30" s="7">
        <v>6500000</v>
      </c>
      <c r="H30" s="9"/>
      <c r="I30" s="7">
        <f t="shared" si="0"/>
        <v>4550000</v>
      </c>
      <c r="J30" s="7">
        <f t="shared" si="1"/>
        <v>6500000</v>
      </c>
      <c r="K30" s="7">
        <f t="shared" si="2"/>
        <v>1950000</v>
      </c>
      <c r="L30" s="10">
        <f t="shared" si="3"/>
        <v>0.3</v>
      </c>
    </row>
    <row r="31" spans="1:12" ht="17" x14ac:dyDescent="0.2">
      <c r="A31" s="7" t="s">
        <v>406</v>
      </c>
      <c r="B31" s="7" t="s">
        <v>405</v>
      </c>
      <c r="C31" s="7" t="s">
        <v>359</v>
      </c>
      <c r="D31" s="9"/>
      <c r="E31" s="7" t="s">
        <v>574</v>
      </c>
      <c r="F31" s="7">
        <v>4</v>
      </c>
      <c r="G31" s="7">
        <v>2500000</v>
      </c>
      <c r="H31" s="9"/>
      <c r="I31" s="7">
        <f t="shared" si="0"/>
        <v>1750000</v>
      </c>
      <c r="J31" s="7">
        <f t="shared" si="1"/>
        <v>10000000</v>
      </c>
      <c r="K31" s="7">
        <f t="shared" si="2"/>
        <v>3000000</v>
      </c>
      <c r="L31" s="10">
        <f t="shared" si="3"/>
        <v>0.3</v>
      </c>
    </row>
    <row r="32" spans="1:12" ht="17" x14ac:dyDescent="0.2">
      <c r="A32" s="7" t="s">
        <v>407</v>
      </c>
      <c r="B32" s="7" t="s">
        <v>408</v>
      </c>
      <c r="C32" s="7" t="s">
        <v>362</v>
      </c>
      <c r="D32" s="7" t="s">
        <v>351</v>
      </c>
      <c r="E32" s="7" t="s">
        <v>575</v>
      </c>
      <c r="F32" s="7">
        <v>1</v>
      </c>
      <c r="G32" s="7">
        <v>7500000</v>
      </c>
      <c r="H32" s="9"/>
      <c r="I32" s="7">
        <f t="shared" si="0"/>
        <v>5250000</v>
      </c>
      <c r="J32" s="7">
        <f t="shared" si="1"/>
        <v>7500000</v>
      </c>
      <c r="K32" s="7">
        <f t="shared" si="2"/>
        <v>2250000</v>
      </c>
      <c r="L32" s="10">
        <f t="shared" si="3"/>
        <v>0.3</v>
      </c>
    </row>
    <row r="33" spans="1:12" ht="17" x14ac:dyDescent="0.2">
      <c r="A33" s="7" t="s">
        <v>409</v>
      </c>
      <c r="B33" s="8">
        <v>44958</v>
      </c>
      <c r="C33" s="7" t="s">
        <v>345</v>
      </c>
      <c r="D33" s="7" t="s">
        <v>346</v>
      </c>
      <c r="E33" s="7" t="s">
        <v>410</v>
      </c>
      <c r="F33" s="7">
        <v>2</v>
      </c>
      <c r="G33" s="7">
        <v>2100000</v>
      </c>
      <c r="H33" s="9"/>
      <c r="I33" s="7">
        <f t="shared" si="0"/>
        <v>1470000</v>
      </c>
      <c r="J33" s="7">
        <f t="shared" si="1"/>
        <v>4200000</v>
      </c>
      <c r="K33" s="7">
        <f t="shared" si="2"/>
        <v>1260000</v>
      </c>
      <c r="L33" s="10">
        <f t="shared" si="3"/>
        <v>0.3</v>
      </c>
    </row>
    <row r="34" spans="1:12" ht="17" x14ac:dyDescent="0.2">
      <c r="A34" s="7" t="s">
        <v>411</v>
      </c>
      <c r="B34" s="8">
        <v>44959</v>
      </c>
      <c r="C34" s="7" t="s">
        <v>350</v>
      </c>
      <c r="D34" s="7" t="s">
        <v>351</v>
      </c>
      <c r="E34" s="7" t="s">
        <v>576</v>
      </c>
      <c r="F34" s="7">
        <v>3</v>
      </c>
      <c r="G34" s="7">
        <v>450000</v>
      </c>
      <c r="H34" s="9"/>
      <c r="I34" s="7">
        <f t="shared" ref="I34:I65" si="4">G34*70%</f>
        <v>315000</v>
      </c>
      <c r="J34" s="7">
        <f t="shared" ref="J34:J65" si="5">F34*G34</f>
        <v>1350000</v>
      </c>
      <c r="K34" s="7">
        <f t="shared" ref="K34:K65" si="6">J34-(F34*I34)</f>
        <v>405000</v>
      </c>
      <c r="L34" s="10">
        <f t="shared" ref="L34:L65" si="7">K34/J34</f>
        <v>0.3</v>
      </c>
    </row>
    <row r="35" spans="1:12" ht="17" x14ac:dyDescent="0.2">
      <c r="A35" s="7" t="s">
        <v>413</v>
      </c>
      <c r="B35" s="8">
        <v>44959</v>
      </c>
      <c r="C35" s="7" t="s">
        <v>354</v>
      </c>
      <c r="D35" s="7" t="s">
        <v>355</v>
      </c>
      <c r="E35" s="7" t="s">
        <v>570</v>
      </c>
      <c r="F35" s="7">
        <v>1</v>
      </c>
      <c r="G35" s="7">
        <v>25000000</v>
      </c>
      <c r="H35" s="9"/>
      <c r="I35" s="7">
        <f t="shared" si="4"/>
        <v>17500000</v>
      </c>
      <c r="J35" s="7">
        <f t="shared" si="5"/>
        <v>25000000</v>
      </c>
      <c r="K35" s="7">
        <f t="shared" si="6"/>
        <v>7500000</v>
      </c>
      <c r="L35" s="10">
        <f t="shared" si="7"/>
        <v>0.3</v>
      </c>
    </row>
    <row r="36" spans="1:12" ht="17" x14ac:dyDescent="0.2">
      <c r="A36" s="7" t="s">
        <v>414</v>
      </c>
      <c r="B36" s="8">
        <v>44960</v>
      </c>
      <c r="C36" s="7" t="s">
        <v>359</v>
      </c>
      <c r="D36" s="9"/>
      <c r="E36" s="7" t="s">
        <v>571</v>
      </c>
      <c r="F36" s="7">
        <v>1</v>
      </c>
      <c r="G36" s="7">
        <v>1800000</v>
      </c>
      <c r="H36" s="7" t="s">
        <v>364</v>
      </c>
      <c r="I36" s="7">
        <f t="shared" si="4"/>
        <v>1260000</v>
      </c>
      <c r="J36" s="7">
        <f t="shared" si="5"/>
        <v>1800000</v>
      </c>
      <c r="K36" s="7">
        <f t="shared" si="6"/>
        <v>540000</v>
      </c>
      <c r="L36" s="10">
        <f t="shared" si="7"/>
        <v>0.3</v>
      </c>
    </row>
    <row r="37" spans="1:12" ht="17" x14ac:dyDescent="0.2">
      <c r="A37" s="7" t="s">
        <v>415</v>
      </c>
      <c r="B37" s="8">
        <v>44961</v>
      </c>
      <c r="C37" s="7" t="s">
        <v>362</v>
      </c>
      <c r="D37" s="7" t="s">
        <v>351</v>
      </c>
      <c r="E37" s="7" t="s">
        <v>572</v>
      </c>
      <c r="F37" s="7">
        <v>1</v>
      </c>
      <c r="G37" s="7">
        <v>2200000</v>
      </c>
      <c r="H37" s="9"/>
      <c r="I37" s="7">
        <f t="shared" si="4"/>
        <v>1540000</v>
      </c>
      <c r="J37" s="7">
        <f t="shared" si="5"/>
        <v>2200000</v>
      </c>
      <c r="K37" s="7">
        <f t="shared" si="6"/>
        <v>660000</v>
      </c>
      <c r="L37" s="10">
        <f t="shared" si="7"/>
        <v>0.3</v>
      </c>
    </row>
    <row r="38" spans="1:12" ht="17" x14ac:dyDescent="0.2">
      <c r="A38" s="7" t="s">
        <v>416</v>
      </c>
      <c r="B38" s="8">
        <v>44962</v>
      </c>
      <c r="C38" s="7" t="s">
        <v>345</v>
      </c>
      <c r="D38" s="7" t="s">
        <v>346</v>
      </c>
      <c r="E38" s="7" t="s">
        <v>573</v>
      </c>
      <c r="F38" s="7">
        <v>1</v>
      </c>
      <c r="G38" s="7">
        <v>6500000</v>
      </c>
      <c r="H38" s="9"/>
      <c r="I38" s="7">
        <f t="shared" si="4"/>
        <v>4550000</v>
      </c>
      <c r="J38" s="7">
        <f t="shared" si="5"/>
        <v>6500000</v>
      </c>
      <c r="K38" s="7">
        <f t="shared" si="6"/>
        <v>1950000</v>
      </c>
      <c r="L38" s="10">
        <f t="shared" si="7"/>
        <v>0.3</v>
      </c>
    </row>
    <row r="39" spans="1:12" ht="17" x14ac:dyDescent="0.2">
      <c r="A39" s="7" t="s">
        <v>418</v>
      </c>
      <c r="B39" s="8">
        <v>44962</v>
      </c>
      <c r="C39" s="7" t="s">
        <v>350</v>
      </c>
      <c r="D39" s="7" t="s">
        <v>351</v>
      </c>
      <c r="E39" s="7" t="s">
        <v>574</v>
      </c>
      <c r="F39" s="7">
        <v>2</v>
      </c>
      <c r="G39" s="7">
        <v>2500000</v>
      </c>
      <c r="H39" s="9"/>
      <c r="I39" s="7">
        <f t="shared" si="4"/>
        <v>1750000</v>
      </c>
      <c r="J39" s="7">
        <f t="shared" si="5"/>
        <v>5000000</v>
      </c>
      <c r="K39" s="7">
        <f t="shared" si="6"/>
        <v>1500000</v>
      </c>
      <c r="L39" s="10">
        <f t="shared" si="7"/>
        <v>0.3</v>
      </c>
    </row>
    <row r="40" spans="1:12" ht="17" x14ac:dyDescent="0.2">
      <c r="A40" s="7" t="s">
        <v>419</v>
      </c>
      <c r="B40" s="8">
        <v>44963</v>
      </c>
      <c r="C40" s="7" t="s">
        <v>354</v>
      </c>
      <c r="D40" s="7" t="s">
        <v>355</v>
      </c>
      <c r="E40" s="7" t="s">
        <v>575</v>
      </c>
      <c r="F40" s="7">
        <v>1</v>
      </c>
      <c r="G40" s="7">
        <v>7500000</v>
      </c>
      <c r="H40" s="9"/>
      <c r="I40" s="7">
        <f t="shared" si="4"/>
        <v>5250000</v>
      </c>
      <c r="J40" s="7">
        <f t="shared" si="5"/>
        <v>7500000</v>
      </c>
      <c r="K40" s="7">
        <f t="shared" si="6"/>
        <v>2250000</v>
      </c>
      <c r="L40" s="10">
        <f t="shared" si="7"/>
        <v>0.3</v>
      </c>
    </row>
    <row r="41" spans="1:12" ht="17" x14ac:dyDescent="0.2">
      <c r="A41" s="7" t="s">
        <v>420</v>
      </c>
      <c r="B41" s="8">
        <v>44964</v>
      </c>
      <c r="C41" s="7" t="s">
        <v>359</v>
      </c>
      <c r="D41" s="9"/>
      <c r="E41" s="7" t="s">
        <v>410</v>
      </c>
      <c r="F41" s="7">
        <v>1</v>
      </c>
      <c r="G41" s="7">
        <v>2100000</v>
      </c>
      <c r="H41" s="9"/>
      <c r="I41" s="7">
        <f t="shared" si="4"/>
        <v>1470000</v>
      </c>
      <c r="J41" s="7">
        <f t="shared" si="5"/>
        <v>2100000</v>
      </c>
      <c r="K41" s="7">
        <f t="shared" si="6"/>
        <v>630000</v>
      </c>
      <c r="L41" s="10">
        <f t="shared" si="7"/>
        <v>0.3</v>
      </c>
    </row>
    <row r="42" spans="1:12" ht="17" x14ac:dyDescent="0.2">
      <c r="A42" s="7" t="s">
        <v>421</v>
      </c>
      <c r="B42" s="8">
        <v>44965</v>
      </c>
      <c r="C42" s="7" t="s">
        <v>362</v>
      </c>
      <c r="D42" s="7" t="s">
        <v>351</v>
      </c>
      <c r="E42" s="7" t="s">
        <v>576</v>
      </c>
      <c r="F42" s="7">
        <v>5</v>
      </c>
      <c r="G42" s="7">
        <v>450000</v>
      </c>
      <c r="H42" s="9"/>
      <c r="I42" s="7">
        <f t="shared" si="4"/>
        <v>315000</v>
      </c>
      <c r="J42" s="7">
        <f t="shared" si="5"/>
        <v>2250000</v>
      </c>
      <c r="K42" s="7">
        <f t="shared" si="6"/>
        <v>675000</v>
      </c>
      <c r="L42" s="10">
        <f t="shared" si="7"/>
        <v>0.3</v>
      </c>
    </row>
    <row r="43" spans="1:12" ht="17" x14ac:dyDescent="0.2">
      <c r="A43" s="7" t="s">
        <v>423</v>
      </c>
      <c r="B43" s="8">
        <v>44965</v>
      </c>
      <c r="C43" s="7" t="s">
        <v>345</v>
      </c>
      <c r="D43" s="7" t="s">
        <v>346</v>
      </c>
      <c r="E43" s="7" t="s">
        <v>570</v>
      </c>
      <c r="F43" s="7">
        <v>1</v>
      </c>
      <c r="G43" s="7">
        <v>25000000</v>
      </c>
      <c r="H43" s="9"/>
      <c r="I43" s="7">
        <f t="shared" si="4"/>
        <v>17500000</v>
      </c>
      <c r="J43" s="7">
        <f t="shared" si="5"/>
        <v>25000000</v>
      </c>
      <c r="K43" s="7">
        <f t="shared" si="6"/>
        <v>7500000</v>
      </c>
      <c r="L43" s="10">
        <f t="shared" si="7"/>
        <v>0.3</v>
      </c>
    </row>
    <row r="44" spans="1:12" ht="17" x14ac:dyDescent="0.2">
      <c r="A44" s="7" t="s">
        <v>424</v>
      </c>
      <c r="B44" s="8">
        <v>44966</v>
      </c>
      <c r="C44" s="7" t="s">
        <v>350</v>
      </c>
      <c r="D44" s="7" t="s">
        <v>351</v>
      </c>
      <c r="E44" s="7" t="s">
        <v>571</v>
      </c>
      <c r="F44" s="7">
        <v>1</v>
      </c>
      <c r="G44" s="7">
        <v>1800000</v>
      </c>
      <c r="H44" s="9"/>
      <c r="I44" s="7">
        <f t="shared" si="4"/>
        <v>1260000</v>
      </c>
      <c r="J44" s="7">
        <f t="shared" si="5"/>
        <v>1800000</v>
      </c>
      <c r="K44" s="7">
        <f t="shared" si="6"/>
        <v>540000</v>
      </c>
      <c r="L44" s="10">
        <f t="shared" si="7"/>
        <v>0.3</v>
      </c>
    </row>
    <row r="45" spans="1:12" ht="17" x14ac:dyDescent="0.2">
      <c r="A45" s="7" t="s">
        <v>425</v>
      </c>
      <c r="B45" s="8">
        <v>44967</v>
      </c>
      <c r="C45" s="7" t="s">
        <v>354</v>
      </c>
      <c r="D45" s="7" t="s">
        <v>355</v>
      </c>
      <c r="E45" s="7" t="s">
        <v>572</v>
      </c>
      <c r="F45" s="9"/>
      <c r="G45" s="7">
        <v>2200000</v>
      </c>
      <c r="H45" s="7" t="s">
        <v>357</v>
      </c>
      <c r="I45" s="7">
        <f t="shared" si="4"/>
        <v>1540000</v>
      </c>
      <c r="J45" s="7">
        <f t="shared" si="5"/>
        <v>0</v>
      </c>
      <c r="K45" s="7">
        <f t="shared" si="6"/>
        <v>0</v>
      </c>
      <c r="L45" s="10"/>
    </row>
    <row r="46" spans="1:12" ht="17" x14ac:dyDescent="0.2">
      <c r="A46" s="9"/>
      <c r="B46" s="8">
        <v>44968</v>
      </c>
      <c r="C46" s="7" t="s">
        <v>359</v>
      </c>
      <c r="D46" s="9"/>
      <c r="E46" s="7" t="s">
        <v>573</v>
      </c>
      <c r="F46" s="7">
        <v>1</v>
      </c>
      <c r="G46" s="7">
        <v>6500000</v>
      </c>
      <c r="H46" s="9"/>
      <c r="I46" s="7">
        <f t="shared" si="4"/>
        <v>4550000</v>
      </c>
      <c r="J46" s="7">
        <f t="shared" si="5"/>
        <v>6500000</v>
      </c>
      <c r="K46" s="7">
        <f t="shared" si="6"/>
        <v>1950000</v>
      </c>
      <c r="L46" s="10">
        <f t="shared" si="7"/>
        <v>0.3</v>
      </c>
    </row>
    <row r="47" spans="1:12" ht="17" x14ac:dyDescent="0.2">
      <c r="A47" s="9"/>
      <c r="B47" s="8">
        <v>44968</v>
      </c>
      <c r="C47" s="7" t="s">
        <v>362</v>
      </c>
      <c r="D47" s="7" t="s">
        <v>351</v>
      </c>
      <c r="E47" s="7" t="s">
        <v>574</v>
      </c>
      <c r="F47" s="7">
        <v>1</v>
      </c>
      <c r="G47" s="7">
        <v>2500000</v>
      </c>
      <c r="H47" s="9"/>
      <c r="I47" s="7">
        <f t="shared" si="4"/>
        <v>1750000</v>
      </c>
      <c r="J47" s="7">
        <f t="shared" si="5"/>
        <v>2500000</v>
      </c>
      <c r="K47" s="7">
        <f t="shared" si="6"/>
        <v>750000</v>
      </c>
      <c r="L47" s="10">
        <f t="shared" si="7"/>
        <v>0.3</v>
      </c>
    </row>
    <row r="48" spans="1:12" ht="17" x14ac:dyDescent="0.2">
      <c r="A48" s="7" t="s">
        <v>426</v>
      </c>
      <c r="B48" s="8">
        <v>44969</v>
      </c>
      <c r="C48" s="7" t="s">
        <v>345</v>
      </c>
      <c r="D48" s="7" t="s">
        <v>346</v>
      </c>
      <c r="E48" s="7" t="s">
        <v>575</v>
      </c>
      <c r="F48" s="7">
        <v>1</v>
      </c>
      <c r="G48" s="7">
        <v>7500000</v>
      </c>
      <c r="H48" s="9"/>
      <c r="I48" s="7">
        <f t="shared" si="4"/>
        <v>5250000</v>
      </c>
      <c r="J48" s="7">
        <f t="shared" si="5"/>
        <v>7500000</v>
      </c>
      <c r="K48" s="7">
        <f t="shared" si="6"/>
        <v>2250000</v>
      </c>
      <c r="L48" s="10">
        <f t="shared" si="7"/>
        <v>0.3</v>
      </c>
    </row>
    <row r="49" spans="1:12" ht="17" x14ac:dyDescent="0.2">
      <c r="A49" s="7" t="s">
        <v>427</v>
      </c>
      <c r="B49" s="7" t="s">
        <v>428</v>
      </c>
      <c r="C49" s="7" t="s">
        <v>350</v>
      </c>
      <c r="D49" s="7" t="s">
        <v>351</v>
      </c>
      <c r="E49" s="7" t="s">
        <v>410</v>
      </c>
      <c r="F49" s="7">
        <v>3</v>
      </c>
      <c r="G49" s="7">
        <v>2100000</v>
      </c>
      <c r="H49" s="7" t="s">
        <v>348</v>
      </c>
      <c r="I49" s="7">
        <f t="shared" si="4"/>
        <v>1470000</v>
      </c>
      <c r="J49" s="7">
        <f t="shared" si="5"/>
        <v>6300000</v>
      </c>
      <c r="K49" s="7">
        <f t="shared" si="6"/>
        <v>1890000</v>
      </c>
      <c r="L49" s="10">
        <f t="shared" si="7"/>
        <v>0.3</v>
      </c>
    </row>
    <row r="50" spans="1:12" ht="17" x14ac:dyDescent="0.2">
      <c r="A50" s="7" t="s">
        <v>429</v>
      </c>
      <c r="B50" s="7" t="s">
        <v>430</v>
      </c>
      <c r="C50" s="7" t="s">
        <v>354</v>
      </c>
      <c r="D50" s="7" t="s">
        <v>355</v>
      </c>
      <c r="E50" s="7" t="s">
        <v>576</v>
      </c>
      <c r="F50" s="7">
        <v>2</v>
      </c>
      <c r="G50" s="7">
        <v>450000</v>
      </c>
      <c r="H50" s="9"/>
      <c r="I50" s="7">
        <f t="shared" si="4"/>
        <v>315000</v>
      </c>
      <c r="J50" s="7">
        <f t="shared" si="5"/>
        <v>900000</v>
      </c>
      <c r="K50" s="7">
        <f t="shared" si="6"/>
        <v>270000</v>
      </c>
      <c r="L50" s="10">
        <f t="shared" si="7"/>
        <v>0.3</v>
      </c>
    </row>
    <row r="51" spans="1:12" ht="17" x14ac:dyDescent="0.2">
      <c r="A51" s="7" t="s">
        <v>431</v>
      </c>
      <c r="B51" s="7" t="s">
        <v>432</v>
      </c>
      <c r="C51" s="7" t="s">
        <v>359</v>
      </c>
      <c r="D51" s="9"/>
      <c r="E51" s="7" t="s">
        <v>570</v>
      </c>
      <c r="F51" s="7">
        <v>1</v>
      </c>
      <c r="G51" s="7">
        <v>2100000</v>
      </c>
      <c r="H51" s="9"/>
      <c r="I51" s="7">
        <f t="shared" si="4"/>
        <v>1470000</v>
      </c>
      <c r="J51" s="7">
        <f t="shared" si="5"/>
        <v>2100000</v>
      </c>
      <c r="K51" s="7">
        <f t="shared" si="6"/>
        <v>630000</v>
      </c>
      <c r="L51" s="10">
        <f t="shared" si="7"/>
        <v>0.3</v>
      </c>
    </row>
    <row r="52" spans="1:12" ht="17" x14ac:dyDescent="0.2">
      <c r="A52" s="7" t="s">
        <v>433</v>
      </c>
      <c r="B52" s="7" t="s">
        <v>432</v>
      </c>
      <c r="C52" s="7" t="s">
        <v>362</v>
      </c>
      <c r="D52" s="7" t="s">
        <v>351</v>
      </c>
      <c r="E52" s="7" t="s">
        <v>571</v>
      </c>
      <c r="F52" s="7">
        <v>1</v>
      </c>
      <c r="G52" s="7">
        <v>1800000</v>
      </c>
      <c r="H52" s="9"/>
      <c r="I52" s="7">
        <f t="shared" si="4"/>
        <v>1260000</v>
      </c>
      <c r="J52" s="7">
        <f t="shared" si="5"/>
        <v>1800000</v>
      </c>
      <c r="K52" s="7">
        <f t="shared" si="6"/>
        <v>540000</v>
      </c>
      <c r="L52" s="10">
        <f t="shared" si="7"/>
        <v>0.3</v>
      </c>
    </row>
    <row r="53" spans="1:12" ht="17" x14ac:dyDescent="0.2">
      <c r="A53" s="7" t="s">
        <v>434</v>
      </c>
      <c r="B53" s="7" t="s">
        <v>435</v>
      </c>
      <c r="C53" s="7" t="s">
        <v>345</v>
      </c>
      <c r="D53" s="7" t="s">
        <v>346</v>
      </c>
      <c r="E53" s="7" t="s">
        <v>572</v>
      </c>
      <c r="F53" s="7">
        <v>1</v>
      </c>
      <c r="G53" s="7">
        <v>2200000</v>
      </c>
      <c r="H53" s="9"/>
      <c r="I53" s="7">
        <f t="shared" si="4"/>
        <v>1540000</v>
      </c>
      <c r="J53" s="7">
        <f t="shared" si="5"/>
        <v>2200000</v>
      </c>
      <c r="K53" s="7">
        <f t="shared" si="6"/>
        <v>660000</v>
      </c>
      <c r="L53" s="10">
        <f t="shared" si="7"/>
        <v>0.3</v>
      </c>
    </row>
    <row r="54" spans="1:12" ht="17" x14ac:dyDescent="0.2">
      <c r="A54" s="7" t="s">
        <v>436</v>
      </c>
      <c r="B54" s="7" t="s">
        <v>437</v>
      </c>
      <c r="C54" s="7" t="s">
        <v>350</v>
      </c>
      <c r="D54" s="7" t="s">
        <v>351</v>
      </c>
      <c r="E54" s="7" t="s">
        <v>573</v>
      </c>
      <c r="F54" s="9"/>
      <c r="G54" s="7">
        <v>6500000</v>
      </c>
      <c r="H54" s="9"/>
      <c r="I54" s="7">
        <f t="shared" si="4"/>
        <v>4550000</v>
      </c>
      <c r="J54" s="7">
        <f t="shared" si="5"/>
        <v>0</v>
      </c>
      <c r="K54" s="7">
        <f t="shared" si="6"/>
        <v>0</v>
      </c>
      <c r="L54" s="10"/>
    </row>
    <row r="55" spans="1:12" ht="17" x14ac:dyDescent="0.2">
      <c r="A55" s="7" t="s">
        <v>438</v>
      </c>
      <c r="B55" s="7" t="s">
        <v>439</v>
      </c>
      <c r="C55" s="7" t="s">
        <v>354</v>
      </c>
      <c r="D55" s="7" t="s">
        <v>355</v>
      </c>
      <c r="E55" s="7" t="s">
        <v>574</v>
      </c>
      <c r="F55" s="7">
        <v>1</v>
      </c>
      <c r="G55" s="7">
        <v>2500000</v>
      </c>
      <c r="H55" s="9"/>
      <c r="I55" s="7">
        <f t="shared" si="4"/>
        <v>1750000</v>
      </c>
      <c r="J55" s="7">
        <f t="shared" si="5"/>
        <v>2500000</v>
      </c>
      <c r="K55" s="7">
        <f t="shared" si="6"/>
        <v>750000</v>
      </c>
      <c r="L55" s="10">
        <f t="shared" si="7"/>
        <v>0.3</v>
      </c>
    </row>
    <row r="56" spans="1:12" ht="17" x14ac:dyDescent="0.2">
      <c r="A56" s="7" t="s">
        <v>441</v>
      </c>
      <c r="B56" s="7" t="s">
        <v>439</v>
      </c>
      <c r="C56" s="7" t="s">
        <v>359</v>
      </c>
      <c r="D56" s="9"/>
      <c r="E56" s="7" t="s">
        <v>575</v>
      </c>
      <c r="F56" s="7">
        <v>2</v>
      </c>
      <c r="G56" s="7">
        <v>7500000</v>
      </c>
      <c r="H56" s="9"/>
      <c r="I56" s="7">
        <f t="shared" si="4"/>
        <v>5250000</v>
      </c>
      <c r="J56" s="7">
        <f t="shared" si="5"/>
        <v>15000000</v>
      </c>
      <c r="K56" s="7">
        <f t="shared" si="6"/>
        <v>4500000</v>
      </c>
      <c r="L56" s="10">
        <f t="shared" si="7"/>
        <v>0.3</v>
      </c>
    </row>
    <row r="57" spans="1:12" ht="17" x14ac:dyDescent="0.2">
      <c r="A57" s="7" t="s">
        <v>442</v>
      </c>
      <c r="B57" s="7" t="s">
        <v>443</v>
      </c>
      <c r="C57" s="7" t="s">
        <v>362</v>
      </c>
      <c r="D57" s="7" t="s">
        <v>351</v>
      </c>
      <c r="E57" s="7" t="s">
        <v>410</v>
      </c>
      <c r="F57" s="7">
        <v>1</v>
      </c>
      <c r="G57" s="7">
        <v>2100000</v>
      </c>
      <c r="H57" s="9"/>
      <c r="I57" s="7">
        <f t="shared" si="4"/>
        <v>1470000</v>
      </c>
      <c r="J57" s="7">
        <f t="shared" si="5"/>
        <v>2100000</v>
      </c>
      <c r="K57" s="7">
        <f t="shared" si="6"/>
        <v>630000</v>
      </c>
      <c r="L57" s="10">
        <f t="shared" si="7"/>
        <v>0.3</v>
      </c>
    </row>
    <row r="58" spans="1:12" ht="17" x14ac:dyDescent="0.2">
      <c r="A58" s="7" t="s">
        <v>444</v>
      </c>
      <c r="B58" s="7" t="s">
        <v>445</v>
      </c>
      <c r="C58" s="7" t="s">
        <v>345</v>
      </c>
      <c r="D58" s="7" t="s">
        <v>346</v>
      </c>
      <c r="E58" s="7" t="s">
        <v>576</v>
      </c>
      <c r="F58" s="7">
        <v>4</v>
      </c>
      <c r="G58" s="7">
        <v>450000</v>
      </c>
      <c r="H58" s="9"/>
      <c r="I58" s="7">
        <f t="shared" si="4"/>
        <v>315000</v>
      </c>
      <c r="J58" s="7">
        <f t="shared" si="5"/>
        <v>1800000</v>
      </c>
      <c r="K58" s="7">
        <f t="shared" si="6"/>
        <v>540000</v>
      </c>
      <c r="L58" s="10">
        <f t="shared" si="7"/>
        <v>0.3</v>
      </c>
    </row>
    <row r="59" spans="1:12" ht="17" x14ac:dyDescent="0.2">
      <c r="A59" s="7" t="s">
        <v>446</v>
      </c>
      <c r="B59" s="7" t="s">
        <v>447</v>
      </c>
      <c r="C59" s="7" t="s">
        <v>350</v>
      </c>
      <c r="D59" s="7" t="s">
        <v>351</v>
      </c>
      <c r="E59" s="7" t="s">
        <v>570</v>
      </c>
      <c r="F59" s="7">
        <v>1</v>
      </c>
      <c r="G59" s="7">
        <v>450000</v>
      </c>
      <c r="H59" s="9"/>
      <c r="I59" s="7">
        <f t="shared" si="4"/>
        <v>315000</v>
      </c>
      <c r="J59" s="7">
        <f t="shared" si="5"/>
        <v>450000</v>
      </c>
      <c r="K59" s="7">
        <f t="shared" si="6"/>
        <v>135000</v>
      </c>
      <c r="L59" s="10">
        <f t="shared" si="7"/>
        <v>0.3</v>
      </c>
    </row>
    <row r="60" spans="1:12" ht="17" x14ac:dyDescent="0.2">
      <c r="A60" s="7" t="s">
        <v>448</v>
      </c>
      <c r="B60" s="7" t="s">
        <v>449</v>
      </c>
      <c r="C60" s="7" t="s">
        <v>354</v>
      </c>
      <c r="D60" s="7" t="s">
        <v>355</v>
      </c>
      <c r="E60" s="7" t="s">
        <v>571</v>
      </c>
      <c r="F60" s="7">
        <v>1</v>
      </c>
      <c r="G60" s="7">
        <v>1800000</v>
      </c>
      <c r="H60" s="9"/>
      <c r="I60" s="7">
        <f t="shared" si="4"/>
        <v>1260000</v>
      </c>
      <c r="J60" s="7">
        <f t="shared" si="5"/>
        <v>1800000</v>
      </c>
      <c r="K60" s="7">
        <f t="shared" si="6"/>
        <v>540000</v>
      </c>
      <c r="L60" s="10">
        <f t="shared" si="7"/>
        <v>0.3</v>
      </c>
    </row>
    <row r="61" spans="1:12" ht="17" x14ac:dyDescent="0.2">
      <c r="A61" s="7" t="s">
        <v>450</v>
      </c>
      <c r="B61" s="7" t="s">
        <v>451</v>
      </c>
      <c r="C61" s="7" t="s">
        <v>359</v>
      </c>
      <c r="D61" s="9"/>
      <c r="E61" s="7" t="s">
        <v>572</v>
      </c>
      <c r="F61" s="7">
        <v>1</v>
      </c>
      <c r="G61" s="7">
        <v>2200000</v>
      </c>
      <c r="H61" s="9"/>
      <c r="I61" s="7">
        <f t="shared" si="4"/>
        <v>1540000</v>
      </c>
      <c r="J61" s="7">
        <f t="shared" si="5"/>
        <v>2200000</v>
      </c>
      <c r="K61" s="7">
        <f t="shared" si="6"/>
        <v>660000</v>
      </c>
      <c r="L61" s="10">
        <f t="shared" si="7"/>
        <v>0.3</v>
      </c>
    </row>
    <row r="62" spans="1:12" ht="17" x14ac:dyDescent="0.2">
      <c r="A62" s="7" t="s">
        <v>452</v>
      </c>
      <c r="B62" s="7" t="s">
        <v>451</v>
      </c>
      <c r="C62" s="7" t="s">
        <v>362</v>
      </c>
      <c r="D62" s="7" t="s">
        <v>351</v>
      </c>
      <c r="E62" s="7" t="s">
        <v>573</v>
      </c>
      <c r="F62" s="7">
        <v>2</v>
      </c>
      <c r="G62" s="7">
        <v>6500000</v>
      </c>
      <c r="H62" s="7" t="s">
        <v>364</v>
      </c>
      <c r="I62" s="7">
        <f t="shared" si="4"/>
        <v>4550000</v>
      </c>
      <c r="J62" s="7">
        <f t="shared" si="5"/>
        <v>13000000</v>
      </c>
      <c r="K62" s="7">
        <f t="shared" si="6"/>
        <v>3900000</v>
      </c>
      <c r="L62" s="10">
        <f t="shared" si="7"/>
        <v>0.3</v>
      </c>
    </row>
    <row r="63" spans="1:12" ht="17" x14ac:dyDescent="0.2">
      <c r="A63" s="7" t="s">
        <v>453</v>
      </c>
      <c r="B63" s="7" t="s">
        <v>454</v>
      </c>
      <c r="C63" s="7" t="s">
        <v>345</v>
      </c>
      <c r="D63" s="7" t="s">
        <v>346</v>
      </c>
      <c r="E63" s="7" t="s">
        <v>574</v>
      </c>
      <c r="F63" s="7">
        <v>1</v>
      </c>
      <c r="G63" s="7">
        <v>2500000</v>
      </c>
      <c r="H63" s="9"/>
      <c r="I63" s="7">
        <f t="shared" si="4"/>
        <v>1750000</v>
      </c>
      <c r="J63" s="7">
        <f t="shared" si="5"/>
        <v>2500000</v>
      </c>
      <c r="K63" s="7">
        <f t="shared" si="6"/>
        <v>750000</v>
      </c>
      <c r="L63" s="10">
        <f t="shared" si="7"/>
        <v>0.3</v>
      </c>
    </row>
    <row r="64" spans="1:12" ht="17" x14ac:dyDescent="0.2">
      <c r="A64" s="7" t="s">
        <v>455</v>
      </c>
      <c r="B64" s="7" t="s">
        <v>456</v>
      </c>
      <c r="C64" s="7" t="s">
        <v>350</v>
      </c>
      <c r="D64" s="7" t="s">
        <v>351</v>
      </c>
      <c r="E64" s="7" t="s">
        <v>575</v>
      </c>
      <c r="F64" s="7">
        <v>1</v>
      </c>
      <c r="G64" s="7">
        <v>7500000</v>
      </c>
      <c r="H64" s="9"/>
      <c r="I64" s="7">
        <f t="shared" si="4"/>
        <v>5250000</v>
      </c>
      <c r="J64" s="7">
        <f t="shared" si="5"/>
        <v>7500000</v>
      </c>
      <c r="K64" s="7">
        <f t="shared" si="6"/>
        <v>2250000</v>
      </c>
      <c r="L64" s="10">
        <f t="shared" si="7"/>
        <v>0.3</v>
      </c>
    </row>
    <row r="65" spans="1:12" ht="17" x14ac:dyDescent="0.2">
      <c r="A65" s="7" t="s">
        <v>458</v>
      </c>
      <c r="B65" s="7" t="s">
        <v>459</v>
      </c>
      <c r="C65" s="7" t="s">
        <v>354</v>
      </c>
      <c r="D65" s="7" t="s">
        <v>355</v>
      </c>
      <c r="E65" s="7" t="s">
        <v>410</v>
      </c>
      <c r="F65" s="7">
        <v>1</v>
      </c>
      <c r="G65" s="7">
        <v>2100000</v>
      </c>
      <c r="H65" s="9"/>
      <c r="I65" s="7">
        <f t="shared" si="4"/>
        <v>1470000</v>
      </c>
      <c r="J65" s="7">
        <f t="shared" si="5"/>
        <v>2100000</v>
      </c>
      <c r="K65" s="7">
        <f t="shared" si="6"/>
        <v>630000</v>
      </c>
      <c r="L65" s="10">
        <f t="shared" si="7"/>
        <v>0.3</v>
      </c>
    </row>
    <row r="66" spans="1:12" ht="17" x14ac:dyDescent="0.2">
      <c r="A66" s="7" t="s">
        <v>460</v>
      </c>
      <c r="B66" s="7" t="s">
        <v>461</v>
      </c>
      <c r="C66" s="7" t="s">
        <v>359</v>
      </c>
      <c r="D66" s="9"/>
      <c r="E66" s="7" t="s">
        <v>576</v>
      </c>
      <c r="F66" s="7">
        <v>2</v>
      </c>
      <c r="G66" s="7">
        <v>450000</v>
      </c>
      <c r="H66" s="9"/>
      <c r="I66" s="7">
        <f t="shared" ref="I66:I97" si="8">G66*70%</f>
        <v>315000</v>
      </c>
      <c r="J66" s="7">
        <f t="shared" ref="J66:J97" si="9">F66*G66</f>
        <v>900000</v>
      </c>
      <c r="K66" s="7">
        <f t="shared" ref="K66:K97" si="10">J66-(F66*I66)</f>
        <v>270000</v>
      </c>
      <c r="L66" s="10">
        <f t="shared" ref="L66:L97" si="11">K66/J66</f>
        <v>0.3</v>
      </c>
    </row>
    <row r="67" spans="1:12" ht="17" x14ac:dyDescent="0.2">
      <c r="A67" s="7" t="s">
        <v>462</v>
      </c>
      <c r="B67" s="7" t="s">
        <v>463</v>
      </c>
      <c r="C67" s="7" t="s">
        <v>362</v>
      </c>
      <c r="D67" s="7" t="s">
        <v>351</v>
      </c>
      <c r="E67" s="7" t="s">
        <v>570</v>
      </c>
      <c r="F67" s="7">
        <v>1</v>
      </c>
      <c r="G67" s="7">
        <v>25000000</v>
      </c>
      <c r="H67" s="9"/>
      <c r="I67" s="7">
        <f t="shared" si="8"/>
        <v>17500000</v>
      </c>
      <c r="J67" s="7">
        <f t="shared" si="9"/>
        <v>25000000</v>
      </c>
      <c r="K67" s="7">
        <f t="shared" si="10"/>
        <v>7500000</v>
      </c>
      <c r="L67" s="10">
        <f t="shared" si="11"/>
        <v>0.3</v>
      </c>
    </row>
    <row r="68" spans="1:12" ht="17" x14ac:dyDescent="0.2">
      <c r="A68" s="7" t="s">
        <v>464</v>
      </c>
      <c r="B68" s="8">
        <v>44986</v>
      </c>
      <c r="C68" s="7" t="s">
        <v>345</v>
      </c>
      <c r="D68" s="7" t="s">
        <v>346</v>
      </c>
      <c r="E68" s="7" t="s">
        <v>571</v>
      </c>
      <c r="F68" s="7">
        <v>2</v>
      </c>
      <c r="G68" s="7">
        <v>1800000</v>
      </c>
      <c r="H68" s="9"/>
      <c r="I68" s="7">
        <f t="shared" si="8"/>
        <v>1260000</v>
      </c>
      <c r="J68" s="7">
        <f t="shared" si="9"/>
        <v>3600000</v>
      </c>
      <c r="K68" s="7">
        <f t="shared" si="10"/>
        <v>1080000</v>
      </c>
      <c r="L68" s="10">
        <f t="shared" si="11"/>
        <v>0.3</v>
      </c>
    </row>
    <row r="69" spans="1:12" ht="17" x14ac:dyDescent="0.2">
      <c r="A69" s="7" t="s">
        <v>465</v>
      </c>
      <c r="B69" s="8">
        <v>44987</v>
      </c>
      <c r="C69" s="7" t="s">
        <v>350</v>
      </c>
      <c r="D69" s="7" t="s">
        <v>351</v>
      </c>
      <c r="E69" s="7" t="s">
        <v>572</v>
      </c>
      <c r="F69" s="7">
        <v>1</v>
      </c>
      <c r="G69" s="7">
        <v>2200000</v>
      </c>
      <c r="H69" s="9"/>
      <c r="I69" s="7">
        <f t="shared" si="8"/>
        <v>1540000</v>
      </c>
      <c r="J69" s="7">
        <f t="shared" si="9"/>
        <v>2200000</v>
      </c>
      <c r="K69" s="7">
        <f t="shared" si="10"/>
        <v>660000</v>
      </c>
      <c r="L69" s="10">
        <f t="shared" si="11"/>
        <v>0.3</v>
      </c>
    </row>
    <row r="70" spans="1:12" ht="17" x14ac:dyDescent="0.2">
      <c r="A70" s="7" t="s">
        <v>466</v>
      </c>
      <c r="B70" s="8">
        <v>44987</v>
      </c>
      <c r="C70" s="7" t="s">
        <v>354</v>
      </c>
      <c r="D70" s="7" t="s">
        <v>355</v>
      </c>
      <c r="E70" s="7" t="s">
        <v>573</v>
      </c>
      <c r="F70" s="7">
        <v>1</v>
      </c>
      <c r="G70" s="7">
        <v>6500000</v>
      </c>
      <c r="H70" s="9"/>
      <c r="I70" s="7">
        <f t="shared" si="8"/>
        <v>4550000</v>
      </c>
      <c r="J70" s="7">
        <f t="shared" si="9"/>
        <v>6500000</v>
      </c>
      <c r="K70" s="7">
        <f t="shared" si="10"/>
        <v>1950000</v>
      </c>
      <c r="L70" s="10">
        <f t="shared" si="11"/>
        <v>0.3</v>
      </c>
    </row>
    <row r="71" spans="1:12" ht="17" x14ac:dyDescent="0.2">
      <c r="A71" s="7" t="s">
        <v>467</v>
      </c>
      <c r="B71" s="8">
        <v>44988</v>
      </c>
      <c r="C71" s="7" t="s">
        <v>359</v>
      </c>
      <c r="D71" s="9"/>
      <c r="E71" s="7" t="s">
        <v>574</v>
      </c>
      <c r="F71" s="7">
        <v>3</v>
      </c>
      <c r="G71" s="7">
        <v>2500000</v>
      </c>
      <c r="H71" s="9"/>
      <c r="I71" s="7">
        <f t="shared" si="8"/>
        <v>1750000</v>
      </c>
      <c r="J71" s="7">
        <f t="shared" si="9"/>
        <v>7500000</v>
      </c>
      <c r="K71" s="7">
        <f t="shared" si="10"/>
        <v>2250000</v>
      </c>
      <c r="L71" s="10">
        <f t="shared" si="11"/>
        <v>0.3</v>
      </c>
    </row>
    <row r="72" spans="1:12" ht="17" x14ac:dyDescent="0.2">
      <c r="A72" s="7" t="s">
        <v>468</v>
      </c>
      <c r="B72" s="8">
        <v>44989</v>
      </c>
      <c r="C72" s="7" t="s">
        <v>362</v>
      </c>
      <c r="D72" s="7" t="s">
        <v>351</v>
      </c>
      <c r="E72" s="7" t="s">
        <v>575</v>
      </c>
      <c r="F72" s="7">
        <v>1</v>
      </c>
      <c r="G72" s="7">
        <v>7500000</v>
      </c>
      <c r="H72" s="9"/>
      <c r="I72" s="7">
        <f t="shared" si="8"/>
        <v>5250000</v>
      </c>
      <c r="J72" s="7">
        <f t="shared" si="9"/>
        <v>7500000</v>
      </c>
      <c r="K72" s="7">
        <f t="shared" si="10"/>
        <v>2250000</v>
      </c>
      <c r="L72" s="10">
        <f t="shared" si="11"/>
        <v>0.3</v>
      </c>
    </row>
    <row r="73" spans="1:12" ht="17" x14ac:dyDescent="0.2">
      <c r="A73" s="7" t="s">
        <v>469</v>
      </c>
      <c r="B73" s="8">
        <v>44990</v>
      </c>
      <c r="C73" s="7" t="s">
        <v>345</v>
      </c>
      <c r="D73" s="7" t="s">
        <v>346</v>
      </c>
      <c r="E73" s="7" t="s">
        <v>410</v>
      </c>
      <c r="F73" s="7">
        <v>1</v>
      </c>
      <c r="G73" s="7">
        <v>2100000</v>
      </c>
      <c r="H73" s="9"/>
      <c r="I73" s="7">
        <f t="shared" si="8"/>
        <v>1470000</v>
      </c>
      <c r="J73" s="7">
        <f t="shared" si="9"/>
        <v>2100000</v>
      </c>
      <c r="K73" s="7">
        <f t="shared" si="10"/>
        <v>630000</v>
      </c>
      <c r="L73" s="10">
        <f t="shared" si="11"/>
        <v>0.3</v>
      </c>
    </row>
    <row r="74" spans="1:12" ht="17" x14ac:dyDescent="0.2">
      <c r="A74" s="7" t="s">
        <v>470</v>
      </c>
      <c r="B74" s="8">
        <v>44990</v>
      </c>
      <c r="C74" s="7" t="s">
        <v>350</v>
      </c>
      <c r="D74" s="7" t="s">
        <v>351</v>
      </c>
      <c r="E74" s="7" t="s">
        <v>576</v>
      </c>
      <c r="F74" s="7">
        <v>3</v>
      </c>
      <c r="G74" s="7">
        <v>450000</v>
      </c>
      <c r="H74" s="9"/>
      <c r="I74" s="7">
        <f t="shared" si="8"/>
        <v>315000</v>
      </c>
      <c r="J74" s="7">
        <f t="shared" si="9"/>
        <v>1350000</v>
      </c>
      <c r="K74" s="7">
        <f t="shared" si="10"/>
        <v>405000</v>
      </c>
      <c r="L74" s="10">
        <f t="shared" si="11"/>
        <v>0.3</v>
      </c>
    </row>
    <row r="75" spans="1:12" ht="17" x14ac:dyDescent="0.2">
      <c r="A75" s="7" t="s">
        <v>471</v>
      </c>
      <c r="B75" s="8">
        <v>44991</v>
      </c>
      <c r="C75" s="7" t="s">
        <v>354</v>
      </c>
      <c r="D75" s="7" t="s">
        <v>355</v>
      </c>
      <c r="E75" s="7" t="s">
        <v>570</v>
      </c>
      <c r="F75" s="7">
        <v>1</v>
      </c>
      <c r="G75" s="7">
        <v>25000000</v>
      </c>
      <c r="H75" s="7" t="s">
        <v>357</v>
      </c>
      <c r="I75" s="7">
        <f t="shared" si="8"/>
        <v>17500000</v>
      </c>
      <c r="J75" s="7">
        <f t="shared" si="9"/>
        <v>25000000</v>
      </c>
      <c r="K75" s="7">
        <f t="shared" si="10"/>
        <v>7500000</v>
      </c>
      <c r="L75" s="10">
        <f t="shared" si="11"/>
        <v>0.3</v>
      </c>
    </row>
    <row r="76" spans="1:12" ht="17" x14ac:dyDescent="0.2">
      <c r="A76" s="7" t="s">
        <v>472</v>
      </c>
      <c r="B76" s="8">
        <v>44992</v>
      </c>
      <c r="C76" s="7" t="s">
        <v>359</v>
      </c>
      <c r="D76" s="9"/>
      <c r="E76" s="7" t="s">
        <v>571</v>
      </c>
      <c r="F76" s="9"/>
      <c r="G76" s="7">
        <v>1800000</v>
      </c>
      <c r="H76" s="9"/>
      <c r="I76" s="7">
        <f t="shared" si="8"/>
        <v>1260000</v>
      </c>
      <c r="J76" s="7">
        <f t="shared" si="9"/>
        <v>0</v>
      </c>
      <c r="K76" s="7">
        <f t="shared" si="10"/>
        <v>0</v>
      </c>
      <c r="L76" s="10"/>
    </row>
    <row r="77" spans="1:12" ht="17" x14ac:dyDescent="0.2">
      <c r="A77" s="7" t="s">
        <v>473</v>
      </c>
      <c r="B77" s="8">
        <v>44993</v>
      </c>
      <c r="C77" s="7" t="s">
        <v>362</v>
      </c>
      <c r="D77" s="7" t="s">
        <v>351</v>
      </c>
      <c r="E77" s="7" t="s">
        <v>572</v>
      </c>
      <c r="F77" s="7">
        <v>2</v>
      </c>
      <c r="G77" s="7">
        <v>2200000</v>
      </c>
      <c r="H77" s="9"/>
      <c r="I77" s="7">
        <f t="shared" si="8"/>
        <v>1540000</v>
      </c>
      <c r="J77" s="7">
        <f t="shared" si="9"/>
        <v>4400000</v>
      </c>
      <c r="K77" s="7">
        <f t="shared" si="10"/>
        <v>1320000</v>
      </c>
      <c r="L77" s="10">
        <f t="shared" si="11"/>
        <v>0.3</v>
      </c>
    </row>
    <row r="78" spans="1:12" ht="17" x14ac:dyDescent="0.2">
      <c r="A78" s="7" t="s">
        <v>474</v>
      </c>
      <c r="B78" s="8">
        <v>44993</v>
      </c>
      <c r="C78" s="7" t="s">
        <v>345</v>
      </c>
      <c r="D78" s="7" t="s">
        <v>346</v>
      </c>
      <c r="E78" s="7" t="s">
        <v>573</v>
      </c>
      <c r="F78" s="7">
        <v>1</v>
      </c>
      <c r="G78" s="7">
        <v>6500000</v>
      </c>
      <c r="H78" s="9"/>
      <c r="I78" s="7">
        <f t="shared" si="8"/>
        <v>4550000</v>
      </c>
      <c r="J78" s="7">
        <f t="shared" si="9"/>
        <v>6500000</v>
      </c>
      <c r="K78" s="7">
        <f t="shared" si="10"/>
        <v>1950000</v>
      </c>
      <c r="L78" s="10">
        <f t="shared" si="11"/>
        <v>0.3</v>
      </c>
    </row>
    <row r="79" spans="1:12" ht="17" x14ac:dyDescent="0.2">
      <c r="A79" s="7" t="s">
        <v>475</v>
      </c>
      <c r="B79" s="8">
        <v>44994</v>
      </c>
      <c r="C79" s="7" t="s">
        <v>350</v>
      </c>
      <c r="D79" s="7" t="s">
        <v>351</v>
      </c>
      <c r="E79" s="7" t="s">
        <v>574</v>
      </c>
      <c r="F79" s="7">
        <v>1</v>
      </c>
      <c r="G79" s="7">
        <v>2500000</v>
      </c>
      <c r="H79" s="7" t="s">
        <v>378</v>
      </c>
      <c r="I79" s="7">
        <f t="shared" si="8"/>
        <v>1750000</v>
      </c>
      <c r="J79" s="7">
        <f t="shared" si="9"/>
        <v>2500000</v>
      </c>
      <c r="K79" s="7">
        <f t="shared" si="10"/>
        <v>750000</v>
      </c>
      <c r="L79" s="10">
        <f t="shared" si="11"/>
        <v>0.3</v>
      </c>
    </row>
    <row r="80" spans="1:12" ht="17" x14ac:dyDescent="0.2">
      <c r="A80" s="7" t="s">
        <v>476</v>
      </c>
      <c r="B80" s="8">
        <v>44995</v>
      </c>
      <c r="C80" s="7" t="s">
        <v>354</v>
      </c>
      <c r="D80" s="7" t="s">
        <v>355</v>
      </c>
      <c r="E80" s="7" t="s">
        <v>575</v>
      </c>
      <c r="F80" s="7">
        <v>1</v>
      </c>
      <c r="G80" s="7">
        <v>7500000</v>
      </c>
      <c r="H80" s="9"/>
      <c r="I80" s="7">
        <f t="shared" si="8"/>
        <v>5250000</v>
      </c>
      <c r="J80" s="7">
        <f t="shared" si="9"/>
        <v>7500000</v>
      </c>
      <c r="K80" s="7">
        <f t="shared" si="10"/>
        <v>2250000</v>
      </c>
      <c r="L80" s="10">
        <f t="shared" si="11"/>
        <v>0.3</v>
      </c>
    </row>
    <row r="81" spans="1:12" ht="17" x14ac:dyDescent="0.2">
      <c r="A81" s="7" t="s">
        <v>477</v>
      </c>
      <c r="B81" s="8">
        <v>44996</v>
      </c>
      <c r="C81" s="7" t="s">
        <v>359</v>
      </c>
      <c r="D81" s="9"/>
      <c r="E81" s="7" t="s">
        <v>410</v>
      </c>
      <c r="F81" s="7">
        <v>2</v>
      </c>
      <c r="G81" s="7">
        <v>2100000</v>
      </c>
      <c r="H81" s="9"/>
      <c r="I81" s="7">
        <f t="shared" si="8"/>
        <v>1470000</v>
      </c>
      <c r="J81" s="7">
        <f t="shared" si="9"/>
        <v>4200000</v>
      </c>
      <c r="K81" s="7">
        <f t="shared" si="10"/>
        <v>1260000</v>
      </c>
      <c r="L81" s="10">
        <f t="shared" si="11"/>
        <v>0.3</v>
      </c>
    </row>
    <row r="82" spans="1:12" ht="17" x14ac:dyDescent="0.2">
      <c r="A82" s="7" t="s">
        <v>478</v>
      </c>
      <c r="B82" s="8">
        <v>44996</v>
      </c>
      <c r="C82" s="7" t="s">
        <v>362</v>
      </c>
      <c r="D82" s="7" t="s">
        <v>351</v>
      </c>
      <c r="E82" s="7" t="s">
        <v>570</v>
      </c>
      <c r="F82" s="7">
        <v>1</v>
      </c>
      <c r="G82" s="7">
        <v>7500000</v>
      </c>
      <c r="H82" s="9"/>
      <c r="I82" s="7">
        <f t="shared" si="8"/>
        <v>5250000</v>
      </c>
      <c r="J82" s="7">
        <f t="shared" si="9"/>
        <v>7500000</v>
      </c>
      <c r="K82" s="7">
        <f t="shared" si="10"/>
        <v>2250000</v>
      </c>
      <c r="L82" s="10">
        <f t="shared" si="11"/>
        <v>0.3</v>
      </c>
    </row>
    <row r="83" spans="1:12" ht="17" x14ac:dyDescent="0.2">
      <c r="A83" s="7" t="s">
        <v>479</v>
      </c>
      <c r="B83" s="8">
        <v>44997</v>
      </c>
      <c r="C83" s="7" t="s">
        <v>345</v>
      </c>
      <c r="D83" s="7" t="s">
        <v>346</v>
      </c>
      <c r="E83" s="7" t="s">
        <v>570</v>
      </c>
      <c r="F83" s="7">
        <v>1</v>
      </c>
      <c r="G83" s="7">
        <v>25000000</v>
      </c>
      <c r="H83" s="9"/>
      <c r="I83" s="7">
        <f t="shared" si="8"/>
        <v>17500000</v>
      </c>
      <c r="J83" s="7">
        <f t="shared" si="9"/>
        <v>25000000</v>
      </c>
      <c r="K83" s="7">
        <f t="shared" si="10"/>
        <v>7500000</v>
      </c>
      <c r="L83" s="10">
        <f t="shared" si="11"/>
        <v>0.3</v>
      </c>
    </row>
    <row r="84" spans="1:12" ht="17" x14ac:dyDescent="0.2">
      <c r="A84" s="7" t="s">
        <v>480</v>
      </c>
      <c r="B84" s="7" t="s">
        <v>481</v>
      </c>
      <c r="C84" s="7" t="s">
        <v>350</v>
      </c>
      <c r="D84" s="7" t="s">
        <v>351</v>
      </c>
      <c r="E84" s="7" t="s">
        <v>571</v>
      </c>
      <c r="F84" s="7">
        <v>1</v>
      </c>
      <c r="G84" s="7">
        <v>1800000</v>
      </c>
      <c r="H84" s="9"/>
      <c r="I84" s="7">
        <f t="shared" si="8"/>
        <v>1260000</v>
      </c>
      <c r="J84" s="7">
        <f t="shared" si="9"/>
        <v>1800000</v>
      </c>
      <c r="K84" s="7">
        <f t="shared" si="10"/>
        <v>540000</v>
      </c>
      <c r="L84" s="10">
        <f t="shared" si="11"/>
        <v>0.3</v>
      </c>
    </row>
    <row r="85" spans="1:12" ht="17" x14ac:dyDescent="0.2">
      <c r="A85" s="7" t="s">
        <v>482</v>
      </c>
      <c r="B85" s="7" t="s">
        <v>483</v>
      </c>
      <c r="C85" s="7" t="s">
        <v>354</v>
      </c>
      <c r="D85" s="7" t="s">
        <v>355</v>
      </c>
      <c r="E85" s="7" t="s">
        <v>572</v>
      </c>
      <c r="F85" s="7">
        <v>1</v>
      </c>
      <c r="G85" s="7">
        <v>2200000</v>
      </c>
      <c r="H85" s="9"/>
      <c r="I85" s="7">
        <f t="shared" si="8"/>
        <v>1540000</v>
      </c>
      <c r="J85" s="7">
        <f t="shared" si="9"/>
        <v>2200000</v>
      </c>
      <c r="K85" s="7">
        <f t="shared" si="10"/>
        <v>660000</v>
      </c>
      <c r="L85" s="10">
        <f t="shared" si="11"/>
        <v>0.3</v>
      </c>
    </row>
    <row r="86" spans="1:12" ht="17" x14ac:dyDescent="0.2">
      <c r="A86" s="7" t="s">
        <v>484</v>
      </c>
      <c r="B86" s="7" t="s">
        <v>485</v>
      </c>
      <c r="C86" s="7" t="s">
        <v>359</v>
      </c>
      <c r="D86" s="9"/>
      <c r="E86" s="7" t="s">
        <v>573</v>
      </c>
      <c r="F86" s="7">
        <v>1</v>
      </c>
      <c r="G86" s="7">
        <v>6500000</v>
      </c>
      <c r="H86" s="9"/>
      <c r="I86" s="7">
        <f t="shared" si="8"/>
        <v>4550000</v>
      </c>
      <c r="J86" s="7">
        <f t="shared" si="9"/>
        <v>6500000</v>
      </c>
      <c r="K86" s="7">
        <f t="shared" si="10"/>
        <v>1950000</v>
      </c>
      <c r="L86" s="10">
        <f t="shared" si="11"/>
        <v>0.3</v>
      </c>
    </row>
    <row r="87" spans="1:12" ht="17" x14ac:dyDescent="0.2">
      <c r="A87" s="7" t="s">
        <v>486</v>
      </c>
      <c r="B87" s="7" t="s">
        <v>485</v>
      </c>
      <c r="C87" s="7" t="s">
        <v>362</v>
      </c>
      <c r="D87" s="7" t="s">
        <v>351</v>
      </c>
      <c r="E87" s="7" t="s">
        <v>574</v>
      </c>
      <c r="F87" s="7">
        <v>5</v>
      </c>
      <c r="G87" s="7">
        <v>2500000</v>
      </c>
      <c r="H87" s="7" t="s">
        <v>364</v>
      </c>
      <c r="I87" s="7">
        <f t="shared" si="8"/>
        <v>1750000</v>
      </c>
      <c r="J87" s="7">
        <f t="shared" si="9"/>
        <v>12500000</v>
      </c>
      <c r="K87" s="7">
        <f t="shared" si="10"/>
        <v>3750000</v>
      </c>
      <c r="L87" s="10">
        <f t="shared" si="11"/>
        <v>0.3</v>
      </c>
    </row>
    <row r="88" spans="1:12" ht="17" x14ac:dyDescent="0.2">
      <c r="A88" s="7" t="s">
        <v>486</v>
      </c>
      <c r="B88" s="7" t="s">
        <v>485</v>
      </c>
      <c r="C88" s="7" t="s">
        <v>362</v>
      </c>
      <c r="D88" s="7" t="s">
        <v>351</v>
      </c>
      <c r="E88" s="7" t="s">
        <v>574</v>
      </c>
      <c r="F88" s="7">
        <v>5</v>
      </c>
      <c r="G88" s="7">
        <v>2500000</v>
      </c>
      <c r="H88" s="7" t="s">
        <v>364</v>
      </c>
      <c r="I88" s="7">
        <f t="shared" si="8"/>
        <v>1750000</v>
      </c>
      <c r="J88" s="7">
        <f t="shared" si="9"/>
        <v>12500000</v>
      </c>
      <c r="K88" s="7">
        <f t="shared" si="10"/>
        <v>3750000</v>
      </c>
      <c r="L88" s="10">
        <f t="shared" si="11"/>
        <v>0.3</v>
      </c>
    </row>
    <row r="89" spans="1:12" ht="17" x14ac:dyDescent="0.2">
      <c r="A89" s="7" t="s">
        <v>487</v>
      </c>
      <c r="B89" s="7" t="s">
        <v>488</v>
      </c>
      <c r="C89" s="7" t="s">
        <v>345</v>
      </c>
      <c r="D89" s="7" t="s">
        <v>346</v>
      </c>
      <c r="E89" s="7" t="s">
        <v>575</v>
      </c>
      <c r="F89" s="7">
        <v>1</v>
      </c>
      <c r="G89" s="7">
        <v>7500000</v>
      </c>
      <c r="H89" s="9"/>
      <c r="I89" s="7">
        <f t="shared" si="8"/>
        <v>5250000</v>
      </c>
      <c r="J89" s="7">
        <f t="shared" si="9"/>
        <v>7500000</v>
      </c>
      <c r="K89" s="7">
        <f t="shared" si="10"/>
        <v>2250000</v>
      </c>
      <c r="L89" s="10">
        <f t="shared" si="11"/>
        <v>0.3</v>
      </c>
    </row>
    <row r="90" spans="1:12" ht="17" x14ac:dyDescent="0.2">
      <c r="A90" s="7" t="s">
        <v>489</v>
      </c>
      <c r="B90" s="7" t="s">
        <v>490</v>
      </c>
      <c r="C90" s="7" t="s">
        <v>350</v>
      </c>
      <c r="D90" s="7" t="s">
        <v>351</v>
      </c>
      <c r="E90" s="7" t="s">
        <v>410</v>
      </c>
      <c r="F90" s="7">
        <v>1</v>
      </c>
      <c r="G90" s="7">
        <v>2100000</v>
      </c>
      <c r="H90" s="9"/>
      <c r="I90" s="7">
        <f t="shared" si="8"/>
        <v>1470000</v>
      </c>
      <c r="J90" s="7">
        <f t="shared" si="9"/>
        <v>2100000</v>
      </c>
      <c r="K90" s="7">
        <f t="shared" si="10"/>
        <v>630000</v>
      </c>
      <c r="L90" s="10">
        <f t="shared" si="11"/>
        <v>0.3</v>
      </c>
    </row>
    <row r="91" spans="1:12" ht="17" x14ac:dyDescent="0.2">
      <c r="A91" s="7" t="s">
        <v>491</v>
      </c>
      <c r="B91" s="7" t="s">
        <v>492</v>
      </c>
      <c r="C91" s="7" t="s">
        <v>354</v>
      </c>
      <c r="D91" s="7" t="s">
        <v>355</v>
      </c>
      <c r="E91" s="7" t="s">
        <v>576</v>
      </c>
      <c r="F91" s="7">
        <v>2</v>
      </c>
      <c r="G91" s="7">
        <v>450000</v>
      </c>
      <c r="H91" s="9"/>
      <c r="I91" s="7">
        <f t="shared" si="8"/>
        <v>315000</v>
      </c>
      <c r="J91" s="7">
        <f t="shared" si="9"/>
        <v>900000</v>
      </c>
      <c r="K91" s="7">
        <f t="shared" si="10"/>
        <v>270000</v>
      </c>
      <c r="L91" s="10">
        <f t="shared" si="11"/>
        <v>0.3</v>
      </c>
    </row>
    <row r="92" spans="1:12" ht="17" x14ac:dyDescent="0.2">
      <c r="A92" s="7" t="s">
        <v>493</v>
      </c>
      <c r="B92" s="7" t="s">
        <v>492</v>
      </c>
      <c r="C92" s="7" t="s">
        <v>359</v>
      </c>
      <c r="D92" s="9"/>
      <c r="E92" s="7" t="s">
        <v>570</v>
      </c>
      <c r="F92" s="7">
        <v>1</v>
      </c>
      <c r="G92" s="7">
        <v>25000000</v>
      </c>
      <c r="H92" s="9"/>
      <c r="I92" s="7">
        <f t="shared" si="8"/>
        <v>17500000</v>
      </c>
      <c r="J92" s="7">
        <f t="shared" si="9"/>
        <v>25000000</v>
      </c>
      <c r="K92" s="7">
        <f t="shared" si="10"/>
        <v>7500000</v>
      </c>
      <c r="L92" s="10">
        <f t="shared" si="11"/>
        <v>0.3</v>
      </c>
    </row>
    <row r="93" spans="1:12" ht="17" x14ac:dyDescent="0.2">
      <c r="A93" s="7" t="s">
        <v>494</v>
      </c>
      <c r="B93" s="7" t="s">
        <v>495</v>
      </c>
      <c r="C93" s="7" t="s">
        <v>362</v>
      </c>
      <c r="D93" s="7" t="s">
        <v>351</v>
      </c>
      <c r="E93" s="7" t="s">
        <v>571</v>
      </c>
      <c r="F93" s="7">
        <v>2</v>
      </c>
      <c r="G93" s="7">
        <v>1800000</v>
      </c>
      <c r="H93" s="9"/>
      <c r="I93" s="7">
        <f t="shared" si="8"/>
        <v>1260000</v>
      </c>
      <c r="J93" s="7">
        <f t="shared" si="9"/>
        <v>3600000</v>
      </c>
      <c r="K93" s="7">
        <f t="shared" si="10"/>
        <v>1080000</v>
      </c>
      <c r="L93" s="10">
        <f t="shared" si="11"/>
        <v>0.3</v>
      </c>
    </row>
    <row r="94" spans="1:12" ht="17" x14ac:dyDescent="0.2">
      <c r="A94" s="7" t="s">
        <v>496</v>
      </c>
      <c r="B94" s="7" t="s">
        <v>497</v>
      </c>
      <c r="C94" s="7" t="s">
        <v>345</v>
      </c>
      <c r="D94" s="7" t="s">
        <v>346</v>
      </c>
      <c r="E94" s="7" t="s">
        <v>572</v>
      </c>
      <c r="F94" s="7">
        <v>1</v>
      </c>
      <c r="G94" s="7">
        <v>2200000</v>
      </c>
      <c r="H94" s="9"/>
      <c r="I94" s="7">
        <f t="shared" si="8"/>
        <v>1540000</v>
      </c>
      <c r="J94" s="7">
        <f t="shared" si="9"/>
        <v>2200000</v>
      </c>
      <c r="K94" s="7">
        <f t="shared" si="10"/>
        <v>660000</v>
      </c>
      <c r="L94" s="10">
        <f t="shared" si="11"/>
        <v>0.3</v>
      </c>
    </row>
    <row r="95" spans="1:12" ht="17" x14ac:dyDescent="0.2">
      <c r="A95" s="7" t="s">
        <v>498</v>
      </c>
      <c r="B95" s="7" t="s">
        <v>499</v>
      </c>
      <c r="C95" s="7" t="s">
        <v>350</v>
      </c>
      <c r="D95" s="7" t="s">
        <v>351</v>
      </c>
      <c r="E95" s="7" t="s">
        <v>573</v>
      </c>
      <c r="F95" s="7">
        <v>1</v>
      </c>
      <c r="G95" s="7">
        <v>6500000</v>
      </c>
      <c r="H95" s="9"/>
      <c r="I95" s="7">
        <f t="shared" si="8"/>
        <v>4550000</v>
      </c>
      <c r="J95" s="7">
        <f t="shared" si="9"/>
        <v>6500000</v>
      </c>
      <c r="K95" s="7">
        <f t="shared" si="10"/>
        <v>1950000</v>
      </c>
      <c r="L95" s="10">
        <f t="shared" si="11"/>
        <v>0.3</v>
      </c>
    </row>
    <row r="96" spans="1:12" ht="17" x14ac:dyDescent="0.2">
      <c r="A96" s="7" t="s">
        <v>500</v>
      </c>
      <c r="B96" s="7" t="s">
        <v>501</v>
      </c>
      <c r="C96" s="7" t="s">
        <v>354</v>
      </c>
      <c r="D96" s="7" t="s">
        <v>355</v>
      </c>
      <c r="E96" s="7" t="s">
        <v>574</v>
      </c>
      <c r="F96" s="7">
        <v>1</v>
      </c>
      <c r="G96" s="7">
        <v>2500000</v>
      </c>
      <c r="H96" s="9"/>
      <c r="I96" s="7">
        <f t="shared" si="8"/>
        <v>1750000</v>
      </c>
      <c r="J96" s="7">
        <f t="shared" si="9"/>
        <v>2500000</v>
      </c>
      <c r="K96" s="7">
        <f t="shared" si="10"/>
        <v>750000</v>
      </c>
      <c r="L96" s="10">
        <f t="shared" si="11"/>
        <v>0.3</v>
      </c>
    </row>
    <row r="97" spans="1:12" ht="17" x14ac:dyDescent="0.2">
      <c r="A97" s="7" t="s">
        <v>502</v>
      </c>
      <c r="B97" s="7" t="s">
        <v>503</v>
      </c>
      <c r="C97" s="7" t="s">
        <v>359</v>
      </c>
      <c r="D97" s="9"/>
      <c r="E97" s="7" t="s">
        <v>575</v>
      </c>
      <c r="F97" s="7">
        <v>1</v>
      </c>
      <c r="G97" s="7">
        <v>7500000</v>
      </c>
      <c r="H97" s="9"/>
      <c r="I97" s="7">
        <f t="shared" si="8"/>
        <v>5250000</v>
      </c>
      <c r="J97" s="7">
        <f t="shared" si="9"/>
        <v>7500000</v>
      </c>
      <c r="K97" s="7">
        <f t="shared" si="10"/>
        <v>2250000</v>
      </c>
      <c r="L97" s="10">
        <f t="shared" si="11"/>
        <v>0.3</v>
      </c>
    </row>
    <row r="98" spans="1:12" ht="17" x14ac:dyDescent="0.2">
      <c r="A98" s="7" t="s">
        <v>504</v>
      </c>
      <c r="B98" s="7" t="s">
        <v>503</v>
      </c>
      <c r="C98" s="7" t="s">
        <v>362</v>
      </c>
      <c r="D98" s="7" t="s">
        <v>351</v>
      </c>
      <c r="E98" s="7" t="s">
        <v>410</v>
      </c>
      <c r="F98" s="7">
        <v>3</v>
      </c>
      <c r="G98" s="7">
        <v>2100000</v>
      </c>
      <c r="H98" s="9"/>
      <c r="I98" s="7">
        <f t="shared" ref="I98:I129" si="12">G98*70%</f>
        <v>1470000</v>
      </c>
      <c r="J98" s="7">
        <f t="shared" ref="J98:J129" si="13">F98*G98</f>
        <v>6300000</v>
      </c>
      <c r="K98" s="7">
        <f t="shared" ref="K98:K129" si="14">J98-(F98*I98)</f>
        <v>1890000</v>
      </c>
      <c r="L98" s="10">
        <f t="shared" ref="L98:L129" si="15">K98/J98</f>
        <v>0.3</v>
      </c>
    </row>
    <row r="99" spans="1:12" ht="17" x14ac:dyDescent="0.2">
      <c r="A99" s="7" t="s">
        <v>505</v>
      </c>
      <c r="B99" s="7" t="s">
        <v>506</v>
      </c>
      <c r="C99" s="7" t="s">
        <v>345</v>
      </c>
      <c r="D99" s="7" t="s">
        <v>346</v>
      </c>
      <c r="E99" s="7" t="s">
        <v>576</v>
      </c>
      <c r="F99" s="7">
        <v>1</v>
      </c>
      <c r="G99" s="7">
        <v>450000</v>
      </c>
      <c r="H99" s="9"/>
      <c r="I99" s="7">
        <f t="shared" si="12"/>
        <v>315000</v>
      </c>
      <c r="J99" s="7">
        <f t="shared" si="13"/>
        <v>450000</v>
      </c>
      <c r="K99" s="7">
        <f t="shared" si="14"/>
        <v>135000</v>
      </c>
      <c r="L99" s="10">
        <f t="shared" si="15"/>
        <v>0.3</v>
      </c>
    </row>
    <row r="100" spans="1:12" ht="17" x14ac:dyDescent="0.2">
      <c r="A100" s="7" t="s">
        <v>507</v>
      </c>
      <c r="B100" s="7" t="s">
        <v>508</v>
      </c>
      <c r="C100" s="7" t="s">
        <v>350</v>
      </c>
      <c r="D100" s="7" t="s">
        <v>351</v>
      </c>
      <c r="E100" s="7" t="s">
        <v>570</v>
      </c>
      <c r="F100" s="7">
        <v>1</v>
      </c>
      <c r="G100" s="7">
        <v>25000000</v>
      </c>
      <c r="H100" s="9"/>
      <c r="I100" s="7">
        <f t="shared" si="12"/>
        <v>17500000</v>
      </c>
      <c r="J100" s="7">
        <f t="shared" si="13"/>
        <v>25000000</v>
      </c>
      <c r="K100" s="7">
        <f t="shared" si="14"/>
        <v>7500000</v>
      </c>
      <c r="L100" s="10">
        <f t="shared" si="15"/>
        <v>0.3</v>
      </c>
    </row>
    <row r="101" spans="1:12" ht="17" x14ac:dyDescent="0.2">
      <c r="A101" s="7" t="s">
        <v>509</v>
      </c>
      <c r="B101" s="7" t="s">
        <v>510</v>
      </c>
      <c r="C101" s="7" t="s">
        <v>354</v>
      </c>
      <c r="D101" s="7" t="s">
        <v>355</v>
      </c>
      <c r="E101" s="7" t="s">
        <v>571</v>
      </c>
      <c r="F101" s="7">
        <v>1</v>
      </c>
      <c r="G101" s="7">
        <v>1800000</v>
      </c>
      <c r="H101" s="9"/>
      <c r="I101" s="7">
        <f t="shared" si="12"/>
        <v>1260000</v>
      </c>
      <c r="J101" s="7">
        <f t="shared" si="13"/>
        <v>1800000</v>
      </c>
      <c r="K101" s="7">
        <f t="shared" si="14"/>
        <v>540000</v>
      </c>
      <c r="L101" s="10">
        <f t="shared" si="15"/>
        <v>0.3</v>
      </c>
    </row>
    <row r="102" spans="1:12" ht="17" x14ac:dyDescent="0.2">
      <c r="A102" s="7" t="s">
        <v>511</v>
      </c>
      <c r="B102" s="7" t="s">
        <v>512</v>
      </c>
      <c r="C102" s="7" t="s">
        <v>359</v>
      </c>
      <c r="D102" s="9"/>
      <c r="E102" s="7" t="s">
        <v>572</v>
      </c>
      <c r="F102" s="7">
        <v>2</v>
      </c>
      <c r="G102" s="7">
        <v>2200000</v>
      </c>
      <c r="H102" s="7" t="s">
        <v>372</v>
      </c>
      <c r="I102" s="7">
        <f t="shared" si="12"/>
        <v>1540000</v>
      </c>
      <c r="J102" s="7">
        <f t="shared" si="13"/>
        <v>4400000</v>
      </c>
      <c r="K102" s="7">
        <f t="shared" si="14"/>
        <v>1320000</v>
      </c>
      <c r="L102" s="10">
        <f t="shared" si="15"/>
        <v>0.3</v>
      </c>
    </row>
    <row r="103" spans="1:12" ht="17" x14ac:dyDescent="0.2">
      <c r="A103" s="7" t="s">
        <v>513</v>
      </c>
      <c r="B103" s="7" t="s">
        <v>514</v>
      </c>
      <c r="C103" s="7" t="s">
        <v>362</v>
      </c>
      <c r="D103" s="7" t="s">
        <v>351</v>
      </c>
      <c r="E103" s="7" t="s">
        <v>573</v>
      </c>
      <c r="F103" s="7">
        <v>1</v>
      </c>
      <c r="G103" s="7">
        <v>6500000</v>
      </c>
      <c r="H103" s="9"/>
      <c r="I103" s="7">
        <f t="shared" si="12"/>
        <v>4550000</v>
      </c>
      <c r="J103" s="7">
        <f t="shared" si="13"/>
        <v>6500000</v>
      </c>
      <c r="K103" s="7">
        <f t="shared" si="14"/>
        <v>1950000</v>
      </c>
      <c r="L103" s="10">
        <f t="shared" si="15"/>
        <v>0.3</v>
      </c>
    </row>
    <row r="104" spans="1:12" ht="17" x14ac:dyDescent="0.2">
      <c r="A104" s="7" t="s">
        <v>515</v>
      </c>
      <c r="B104" s="7" t="s">
        <v>516</v>
      </c>
      <c r="C104" s="7" t="s">
        <v>345</v>
      </c>
      <c r="D104" s="7" t="s">
        <v>346</v>
      </c>
      <c r="E104" s="7" t="s">
        <v>574</v>
      </c>
      <c r="F104" s="7">
        <v>1</v>
      </c>
      <c r="G104" s="7">
        <v>2500000</v>
      </c>
      <c r="H104" s="9"/>
      <c r="I104" s="7">
        <f t="shared" si="12"/>
        <v>1750000</v>
      </c>
      <c r="J104" s="7">
        <f t="shared" si="13"/>
        <v>2500000</v>
      </c>
      <c r="K104" s="7">
        <f t="shared" si="14"/>
        <v>750000</v>
      </c>
      <c r="L104" s="10">
        <f t="shared" si="15"/>
        <v>0.3</v>
      </c>
    </row>
    <row r="105" spans="1:12" ht="17" x14ac:dyDescent="0.2">
      <c r="A105" s="7" t="s">
        <v>517</v>
      </c>
      <c r="B105" s="7" t="s">
        <v>518</v>
      </c>
      <c r="C105" s="7" t="s">
        <v>350</v>
      </c>
      <c r="D105" s="7" t="s">
        <v>351</v>
      </c>
      <c r="E105" s="7" t="s">
        <v>575</v>
      </c>
      <c r="F105" s="7">
        <v>1</v>
      </c>
      <c r="G105" s="7">
        <v>7500000</v>
      </c>
      <c r="H105" s="9"/>
      <c r="I105" s="7">
        <f t="shared" si="12"/>
        <v>5250000</v>
      </c>
      <c r="J105" s="7">
        <f t="shared" si="13"/>
        <v>7500000</v>
      </c>
      <c r="K105" s="7">
        <f t="shared" si="14"/>
        <v>2250000</v>
      </c>
      <c r="L105" s="10">
        <f t="shared" si="15"/>
        <v>0.3</v>
      </c>
    </row>
    <row r="106" spans="1:12" ht="17" x14ac:dyDescent="0.2">
      <c r="A106" s="7" t="s">
        <v>519</v>
      </c>
      <c r="B106" s="7" t="s">
        <v>520</v>
      </c>
      <c r="C106" s="7" t="s">
        <v>354</v>
      </c>
      <c r="D106" s="7" t="s">
        <v>355</v>
      </c>
      <c r="E106" s="7" t="s">
        <v>410</v>
      </c>
      <c r="F106" s="7">
        <v>1</v>
      </c>
      <c r="G106" s="7">
        <v>2100000</v>
      </c>
      <c r="H106" s="9"/>
      <c r="I106" s="7">
        <f t="shared" si="12"/>
        <v>1470000</v>
      </c>
      <c r="J106" s="7">
        <f t="shared" si="13"/>
        <v>2100000</v>
      </c>
      <c r="K106" s="7">
        <f t="shared" si="14"/>
        <v>630000</v>
      </c>
      <c r="L106" s="10">
        <f t="shared" si="15"/>
        <v>0.3</v>
      </c>
    </row>
    <row r="107" spans="1:12" ht="17" x14ac:dyDescent="0.2">
      <c r="A107" s="7" t="s">
        <v>521</v>
      </c>
      <c r="B107" s="8">
        <v>44934</v>
      </c>
      <c r="C107" s="7" t="s">
        <v>359</v>
      </c>
      <c r="D107" s="9"/>
      <c r="E107" s="7" t="s">
        <v>576</v>
      </c>
      <c r="F107" s="7">
        <v>4</v>
      </c>
      <c r="G107" s="7">
        <v>450000</v>
      </c>
      <c r="H107" s="9"/>
      <c r="I107" s="7">
        <f t="shared" si="12"/>
        <v>315000</v>
      </c>
      <c r="J107" s="7">
        <f t="shared" si="13"/>
        <v>1800000</v>
      </c>
      <c r="K107" s="7">
        <f t="shared" si="14"/>
        <v>540000</v>
      </c>
      <c r="L107" s="10">
        <f t="shared" si="15"/>
        <v>0.3</v>
      </c>
    </row>
    <row r="108" spans="1:12" ht="17" x14ac:dyDescent="0.2">
      <c r="A108" s="7" t="s">
        <v>522</v>
      </c>
      <c r="B108" s="8">
        <v>44965</v>
      </c>
      <c r="C108" s="7" t="s">
        <v>362</v>
      </c>
      <c r="D108" s="7" t="s">
        <v>351</v>
      </c>
      <c r="E108" s="7" t="s">
        <v>570</v>
      </c>
      <c r="F108" s="7">
        <v>1</v>
      </c>
      <c r="G108" s="7">
        <v>25000000</v>
      </c>
      <c r="H108" s="9"/>
      <c r="I108" s="7">
        <f t="shared" si="12"/>
        <v>17500000</v>
      </c>
      <c r="J108" s="7">
        <f t="shared" si="13"/>
        <v>25000000</v>
      </c>
      <c r="K108" s="7">
        <f t="shared" si="14"/>
        <v>7500000</v>
      </c>
      <c r="L108" s="10">
        <f t="shared" si="15"/>
        <v>0.3</v>
      </c>
    </row>
    <row r="109" spans="1:12" ht="17" x14ac:dyDescent="0.2">
      <c r="A109" s="7" t="s">
        <v>523</v>
      </c>
      <c r="B109" s="8">
        <v>44993</v>
      </c>
      <c r="C109" s="7" t="s">
        <v>345</v>
      </c>
      <c r="D109" s="7" t="s">
        <v>346</v>
      </c>
      <c r="E109" s="7" t="s">
        <v>571</v>
      </c>
      <c r="F109" s="7">
        <v>1</v>
      </c>
      <c r="G109" s="7">
        <v>1800000</v>
      </c>
      <c r="H109" s="9"/>
      <c r="I109" s="7">
        <f t="shared" si="12"/>
        <v>1260000</v>
      </c>
      <c r="J109" s="7">
        <f t="shared" si="13"/>
        <v>1800000</v>
      </c>
      <c r="K109" s="7">
        <f t="shared" si="14"/>
        <v>540000</v>
      </c>
      <c r="L109" s="10">
        <f t="shared" si="15"/>
        <v>0.3</v>
      </c>
    </row>
    <row r="110" spans="1:12" ht="17" x14ac:dyDescent="0.2">
      <c r="A110" s="7" t="s">
        <v>524</v>
      </c>
      <c r="B110" s="8">
        <v>45024</v>
      </c>
      <c r="C110" s="7" t="s">
        <v>350</v>
      </c>
      <c r="D110" s="7" t="s">
        <v>351</v>
      </c>
      <c r="E110" s="7" t="s">
        <v>572</v>
      </c>
      <c r="F110" s="7">
        <v>1</v>
      </c>
      <c r="G110" s="7">
        <v>2200000</v>
      </c>
      <c r="H110" s="9"/>
      <c r="I110" s="7">
        <f t="shared" si="12"/>
        <v>1540000</v>
      </c>
      <c r="J110" s="7">
        <f t="shared" si="13"/>
        <v>2200000</v>
      </c>
      <c r="K110" s="7">
        <f t="shared" si="14"/>
        <v>660000</v>
      </c>
      <c r="L110" s="10">
        <f t="shared" si="15"/>
        <v>0.3</v>
      </c>
    </row>
    <row r="111" spans="1:12" ht="17" x14ac:dyDescent="0.2">
      <c r="A111" s="7" t="s">
        <v>525</v>
      </c>
      <c r="B111" s="8">
        <v>45025</v>
      </c>
      <c r="C111" s="7" t="s">
        <v>354</v>
      </c>
      <c r="D111" s="7" t="s">
        <v>355</v>
      </c>
      <c r="E111" s="7" t="s">
        <v>573</v>
      </c>
      <c r="F111" s="7">
        <v>2</v>
      </c>
      <c r="G111" s="7">
        <v>6500000</v>
      </c>
      <c r="H111" s="7" t="s">
        <v>364</v>
      </c>
      <c r="I111" s="7">
        <f t="shared" si="12"/>
        <v>4550000</v>
      </c>
      <c r="J111" s="7">
        <f t="shared" si="13"/>
        <v>13000000</v>
      </c>
      <c r="K111" s="7">
        <f t="shared" si="14"/>
        <v>3900000</v>
      </c>
      <c r="L111" s="10">
        <f t="shared" si="15"/>
        <v>0.3</v>
      </c>
    </row>
    <row r="112" spans="1:12" ht="17" x14ac:dyDescent="0.2">
      <c r="A112" s="7" t="s">
        <v>526</v>
      </c>
      <c r="B112" s="8">
        <v>45026</v>
      </c>
      <c r="C112" s="7" t="s">
        <v>359</v>
      </c>
      <c r="D112" s="9"/>
      <c r="E112" s="7" t="s">
        <v>574</v>
      </c>
      <c r="F112" s="7">
        <v>2</v>
      </c>
      <c r="G112" s="7">
        <v>2500000</v>
      </c>
      <c r="H112" s="9"/>
      <c r="I112" s="7">
        <f t="shared" si="12"/>
        <v>1750000</v>
      </c>
      <c r="J112" s="7">
        <f t="shared" si="13"/>
        <v>5000000</v>
      </c>
      <c r="K112" s="7">
        <f t="shared" si="14"/>
        <v>1500000</v>
      </c>
      <c r="L112" s="10">
        <f t="shared" si="15"/>
        <v>0.3</v>
      </c>
    </row>
    <row r="113" spans="1:12" ht="17" x14ac:dyDescent="0.2">
      <c r="A113" s="7" t="s">
        <v>527</v>
      </c>
      <c r="B113" s="8">
        <v>45027</v>
      </c>
      <c r="C113" s="7" t="s">
        <v>362</v>
      </c>
      <c r="D113" s="7" t="s">
        <v>351</v>
      </c>
      <c r="E113" s="7" t="s">
        <v>575</v>
      </c>
      <c r="F113" s="7">
        <v>1</v>
      </c>
      <c r="G113" s="7">
        <v>7500000</v>
      </c>
      <c r="H113" s="9"/>
      <c r="I113" s="7">
        <f t="shared" si="12"/>
        <v>5250000</v>
      </c>
      <c r="J113" s="7">
        <f t="shared" si="13"/>
        <v>7500000</v>
      </c>
      <c r="K113" s="7">
        <f t="shared" si="14"/>
        <v>2250000</v>
      </c>
      <c r="L113" s="10">
        <f t="shared" si="15"/>
        <v>0.3</v>
      </c>
    </row>
    <row r="114" spans="1:12" ht="17" x14ac:dyDescent="0.2">
      <c r="A114" s="7" t="s">
        <v>528</v>
      </c>
      <c r="B114" s="8">
        <v>45027</v>
      </c>
      <c r="C114" s="7" t="s">
        <v>345</v>
      </c>
      <c r="D114" s="7" t="s">
        <v>346</v>
      </c>
      <c r="E114" s="7" t="s">
        <v>410</v>
      </c>
      <c r="F114" s="7">
        <v>1</v>
      </c>
      <c r="G114" s="7">
        <v>2100000</v>
      </c>
      <c r="H114" s="9"/>
      <c r="I114" s="7">
        <f t="shared" si="12"/>
        <v>1470000</v>
      </c>
      <c r="J114" s="7">
        <f t="shared" si="13"/>
        <v>2100000</v>
      </c>
      <c r="K114" s="7">
        <f t="shared" si="14"/>
        <v>630000</v>
      </c>
      <c r="L114" s="10">
        <f t="shared" si="15"/>
        <v>0.3</v>
      </c>
    </row>
    <row r="115" spans="1:12" ht="17" x14ac:dyDescent="0.2">
      <c r="A115" s="7" t="s">
        <v>529</v>
      </c>
      <c r="B115" s="8">
        <v>45028</v>
      </c>
      <c r="C115" s="7" t="s">
        <v>350</v>
      </c>
      <c r="D115" s="7" t="s">
        <v>351</v>
      </c>
      <c r="E115" s="7" t="s">
        <v>573</v>
      </c>
      <c r="F115" s="7">
        <v>1</v>
      </c>
      <c r="G115" s="7">
        <v>25000000</v>
      </c>
      <c r="H115" s="9"/>
      <c r="I115" s="7">
        <f t="shared" si="12"/>
        <v>17500000</v>
      </c>
      <c r="J115" s="7">
        <f t="shared" si="13"/>
        <v>25000000</v>
      </c>
      <c r="K115" s="7">
        <f t="shared" si="14"/>
        <v>7500000</v>
      </c>
      <c r="L115" s="10">
        <f t="shared" si="15"/>
        <v>0.3</v>
      </c>
    </row>
    <row r="116" spans="1:12" ht="17" x14ac:dyDescent="0.2">
      <c r="A116" s="7" t="s">
        <v>530</v>
      </c>
      <c r="B116" s="7" t="s">
        <v>531</v>
      </c>
      <c r="C116" s="7" t="s">
        <v>354</v>
      </c>
      <c r="D116" s="7" t="s">
        <v>355</v>
      </c>
      <c r="E116" s="7" t="s">
        <v>570</v>
      </c>
      <c r="F116" s="7">
        <v>1</v>
      </c>
      <c r="G116" s="7">
        <v>25000000</v>
      </c>
      <c r="H116" s="9"/>
      <c r="I116" s="7">
        <f t="shared" si="12"/>
        <v>17500000</v>
      </c>
      <c r="J116" s="7">
        <f t="shared" si="13"/>
        <v>25000000</v>
      </c>
      <c r="K116" s="7">
        <f t="shared" si="14"/>
        <v>7500000</v>
      </c>
      <c r="L116" s="10">
        <f t="shared" si="15"/>
        <v>0.3</v>
      </c>
    </row>
    <row r="117" spans="1:12" ht="17" x14ac:dyDescent="0.2">
      <c r="A117" s="7" t="s">
        <v>532</v>
      </c>
      <c r="B117" s="7" t="s">
        <v>533</v>
      </c>
      <c r="C117" s="7" t="s">
        <v>359</v>
      </c>
      <c r="D117" s="9"/>
      <c r="E117" s="7" t="s">
        <v>571</v>
      </c>
      <c r="F117" s="9"/>
      <c r="G117" s="7">
        <v>1800000</v>
      </c>
      <c r="H117" s="9"/>
      <c r="I117" s="7">
        <f t="shared" si="12"/>
        <v>1260000</v>
      </c>
      <c r="J117" s="7">
        <f t="shared" si="13"/>
        <v>0</v>
      </c>
      <c r="K117" s="7">
        <f t="shared" si="14"/>
        <v>0</v>
      </c>
      <c r="L117" s="10"/>
    </row>
    <row r="118" spans="1:12" ht="17" x14ac:dyDescent="0.2">
      <c r="A118" s="7" t="s">
        <v>534</v>
      </c>
      <c r="B118" s="7" t="s">
        <v>535</v>
      </c>
      <c r="C118" s="7" t="s">
        <v>362</v>
      </c>
      <c r="D118" s="7" t="s">
        <v>351</v>
      </c>
      <c r="E118" s="7" t="s">
        <v>572</v>
      </c>
      <c r="F118" s="7">
        <v>1</v>
      </c>
      <c r="G118" s="7">
        <v>2200000</v>
      </c>
      <c r="H118" s="9"/>
      <c r="I118" s="7">
        <f t="shared" si="12"/>
        <v>1540000</v>
      </c>
      <c r="J118" s="7">
        <f t="shared" si="13"/>
        <v>2200000</v>
      </c>
      <c r="K118" s="7">
        <f t="shared" si="14"/>
        <v>660000</v>
      </c>
      <c r="L118" s="10">
        <f t="shared" si="15"/>
        <v>0.3</v>
      </c>
    </row>
    <row r="119" spans="1:12" ht="17" x14ac:dyDescent="0.2">
      <c r="A119" s="7" t="s">
        <v>537</v>
      </c>
      <c r="B119" s="7" t="s">
        <v>535</v>
      </c>
      <c r="C119" s="7" t="s">
        <v>345</v>
      </c>
      <c r="D119" s="7" t="s">
        <v>346</v>
      </c>
      <c r="E119" s="7" t="s">
        <v>573</v>
      </c>
      <c r="F119" s="7">
        <v>1</v>
      </c>
      <c r="G119" s="7">
        <v>6500000</v>
      </c>
      <c r="H119" s="9"/>
      <c r="I119" s="7">
        <f t="shared" si="12"/>
        <v>4550000</v>
      </c>
      <c r="J119" s="7">
        <f t="shared" si="13"/>
        <v>6500000</v>
      </c>
      <c r="K119" s="7">
        <f t="shared" si="14"/>
        <v>1950000</v>
      </c>
      <c r="L119" s="10">
        <f t="shared" si="15"/>
        <v>0.3</v>
      </c>
    </row>
    <row r="120" spans="1:12" ht="17" x14ac:dyDescent="0.2">
      <c r="A120" s="7" t="s">
        <v>538</v>
      </c>
      <c r="B120" s="7" t="s">
        <v>539</v>
      </c>
      <c r="C120" s="7" t="s">
        <v>350</v>
      </c>
      <c r="D120" s="7" t="s">
        <v>351</v>
      </c>
      <c r="E120" s="7" t="s">
        <v>574</v>
      </c>
      <c r="F120" s="7">
        <v>1</v>
      </c>
      <c r="G120" s="7">
        <v>2500000</v>
      </c>
      <c r="H120" s="9"/>
      <c r="I120" s="7">
        <f t="shared" si="12"/>
        <v>1750000</v>
      </c>
      <c r="J120" s="7">
        <f t="shared" si="13"/>
        <v>2500000</v>
      </c>
      <c r="K120" s="7">
        <f t="shared" si="14"/>
        <v>750000</v>
      </c>
      <c r="L120" s="10">
        <f t="shared" si="15"/>
        <v>0.3</v>
      </c>
    </row>
    <row r="121" spans="1:12" ht="17" x14ac:dyDescent="0.2">
      <c r="A121" s="7" t="s">
        <v>540</v>
      </c>
      <c r="B121" s="7" t="s">
        <v>541</v>
      </c>
      <c r="C121" s="7" t="s">
        <v>354</v>
      </c>
      <c r="D121" s="7" t="s">
        <v>355</v>
      </c>
      <c r="E121" s="7" t="s">
        <v>575</v>
      </c>
      <c r="F121" s="7">
        <v>1</v>
      </c>
      <c r="G121" s="7">
        <v>7500000</v>
      </c>
      <c r="H121" s="9"/>
      <c r="I121" s="7">
        <f t="shared" si="12"/>
        <v>5250000</v>
      </c>
      <c r="J121" s="7">
        <f t="shared" si="13"/>
        <v>7500000</v>
      </c>
      <c r="K121" s="7">
        <f t="shared" si="14"/>
        <v>2250000</v>
      </c>
      <c r="L121" s="10">
        <f t="shared" si="15"/>
        <v>0.3</v>
      </c>
    </row>
    <row r="122" spans="1:12" ht="17" x14ac:dyDescent="0.2">
      <c r="A122" s="7" t="s">
        <v>542</v>
      </c>
      <c r="B122" s="7" t="s">
        <v>543</v>
      </c>
      <c r="C122" s="7" t="s">
        <v>359</v>
      </c>
      <c r="D122" s="9"/>
      <c r="E122" s="7" t="s">
        <v>410</v>
      </c>
      <c r="F122" s="7">
        <v>2</v>
      </c>
      <c r="G122" s="7">
        <v>2100000</v>
      </c>
      <c r="H122" s="9"/>
      <c r="I122" s="7">
        <f t="shared" si="12"/>
        <v>1470000</v>
      </c>
      <c r="J122" s="7">
        <f t="shared" si="13"/>
        <v>4200000</v>
      </c>
      <c r="K122" s="7">
        <f t="shared" si="14"/>
        <v>1260000</v>
      </c>
      <c r="L122" s="10">
        <f t="shared" si="15"/>
        <v>0.3</v>
      </c>
    </row>
    <row r="123" spans="1:12" ht="17" x14ac:dyDescent="0.2">
      <c r="A123" s="7" t="s">
        <v>544</v>
      </c>
      <c r="B123" s="7" t="s">
        <v>543</v>
      </c>
      <c r="C123" s="7" t="s">
        <v>362</v>
      </c>
      <c r="D123" s="7" t="s">
        <v>351</v>
      </c>
      <c r="E123" s="7" t="s">
        <v>576</v>
      </c>
      <c r="F123" s="9"/>
      <c r="G123" s="7">
        <v>450000</v>
      </c>
      <c r="H123" s="9"/>
      <c r="I123" s="7">
        <f t="shared" si="12"/>
        <v>315000</v>
      </c>
      <c r="J123" s="7">
        <f t="shared" si="13"/>
        <v>0</v>
      </c>
      <c r="K123" s="7">
        <f t="shared" si="14"/>
        <v>0</v>
      </c>
      <c r="L123" s="10"/>
    </row>
    <row r="124" spans="1:12" ht="17" x14ac:dyDescent="0.2">
      <c r="A124" s="7" t="s">
        <v>545</v>
      </c>
      <c r="B124" s="7" t="s">
        <v>546</v>
      </c>
      <c r="C124" s="7" t="s">
        <v>345</v>
      </c>
      <c r="D124" s="7" t="s">
        <v>346</v>
      </c>
      <c r="E124" s="7" t="s">
        <v>570</v>
      </c>
      <c r="F124" s="7">
        <v>1</v>
      </c>
      <c r="G124" s="7">
        <v>25000000</v>
      </c>
      <c r="H124" s="9"/>
      <c r="I124" s="7">
        <f t="shared" si="12"/>
        <v>17500000</v>
      </c>
      <c r="J124" s="7">
        <f t="shared" si="13"/>
        <v>25000000</v>
      </c>
      <c r="K124" s="7">
        <f t="shared" si="14"/>
        <v>7500000</v>
      </c>
      <c r="L124" s="10">
        <f t="shared" si="15"/>
        <v>0.3</v>
      </c>
    </row>
    <row r="125" spans="1:12" ht="17" x14ac:dyDescent="0.2">
      <c r="A125" s="7" t="s">
        <v>547</v>
      </c>
      <c r="B125" s="7" t="s">
        <v>548</v>
      </c>
      <c r="C125" s="7" t="s">
        <v>350</v>
      </c>
      <c r="D125" s="7" t="s">
        <v>351</v>
      </c>
      <c r="E125" s="7" t="s">
        <v>571</v>
      </c>
      <c r="F125" s="7">
        <v>1</v>
      </c>
      <c r="G125" s="7">
        <v>1800000</v>
      </c>
      <c r="H125" s="9"/>
      <c r="I125" s="7">
        <f t="shared" si="12"/>
        <v>1260000</v>
      </c>
      <c r="J125" s="7">
        <f t="shared" si="13"/>
        <v>1800000</v>
      </c>
      <c r="K125" s="7">
        <f t="shared" si="14"/>
        <v>540000</v>
      </c>
      <c r="L125" s="10">
        <f t="shared" si="15"/>
        <v>0.3</v>
      </c>
    </row>
    <row r="126" spans="1:12" ht="17" x14ac:dyDescent="0.2">
      <c r="A126" s="7" t="s">
        <v>549</v>
      </c>
      <c r="B126" s="7" t="s">
        <v>550</v>
      </c>
      <c r="C126" s="7" t="s">
        <v>354</v>
      </c>
      <c r="D126" s="7" t="s">
        <v>355</v>
      </c>
      <c r="E126" s="7" t="s">
        <v>572</v>
      </c>
      <c r="F126" s="7">
        <v>1</v>
      </c>
      <c r="G126" s="7">
        <v>2200000</v>
      </c>
      <c r="H126" s="9"/>
      <c r="I126" s="7">
        <f t="shared" si="12"/>
        <v>1540000</v>
      </c>
      <c r="J126" s="7">
        <f t="shared" si="13"/>
        <v>2200000</v>
      </c>
      <c r="K126" s="7">
        <f t="shared" si="14"/>
        <v>660000</v>
      </c>
      <c r="L126" s="10">
        <f t="shared" si="15"/>
        <v>0.3</v>
      </c>
    </row>
    <row r="127" spans="1:12" ht="17" x14ac:dyDescent="0.2">
      <c r="A127" s="7" t="s">
        <v>551</v>
      </c>
      <c r="B127" s="7" t="s">
        <v>552</v>
      </c>
      <c r="C127" s="7" t="s">
        <v>359</v>
      </c>
      <c r="D127" s="9"/>
      <c r="E127" s="7" t="s">
        <v>573</v>
      </c>
      <c r="F127" s="7">
        <v>1</v>
      </c>
      <c r="G127" s="7">
        <v>6500000</v>
      </c>
      <c r="H127" s="9"/>
      <c r="I127" s="7">
        <f t="shared" si="12"/>
        <v>4550000</v>
      </c>
      <c r="J127" s="7">
        <f t="shared" si="13"/>
        <v>6500000</v>
      </c>
      <c r="K127" s="7">
        <f t="shared" si="14"/>
        <v>1950000</v>
      </c>
      <c r="L127" s="10">
        <f t="shared" si="15"/>
        <v>0.3</v>
      </c>
    </row>
    <row r="128" spans="1:12" ht="17" x14ac:dyDescent="0.2">
      <c r="A128" s="7" t="s">
        <v>553</v>
      </c>
      <c r="B128" s="7" t="s">
        <v>554</v>
      </c>
      <c r="C128" s="7" t="s">
        <v>362</v>
      </c>
      <c r="D128" s="7" t="s">
        <v>351</v>
      </c>
      <c r="E128" s="7" t="s">
        <v>571</v>
      </c>
      <c r="F128" s="9"/>
      <c r="G128" s="7">
        <v>6500000</v>
      </c>
      <c r="H128" s="9"/>
      <c r="I128" s="7">
        <f t="shared" si="12"/>
        <v>4550000</v>
      </c>
      <c r="J128" s="7">
        <f t="shared" si="13"/>
        <v>0</v>
      </c>
      <c r="K128" s="7">
        <f t="shared" si="14"/>
        <v>0</v>
      </c>
      <c r="L128" s="10"/>
    </row>
    <row r="129" spans="1:12" ht="17" x14ac:dyDescent="0.2">
      <c r="A129" s="7" t="s">
        <v>555</v>
      </c>
      <c r="B129" s="7" t="s">
        <v>554</v>
      </c>
      <c r="C129" s="7" t="s">
        <v>345</v>
      </c>
      <c r="D129" s="7" t="s">
        <v>346</v>
      </c>
      <c r="E129" s="7" t="s">
        <v>575</v>
      </c>
      <c r="F129" s="7">
        <v>1</v>
      </c>
      <c r="G129" s="7">
        <v>7500000</v>
      </c>
      <c r="H129" s="9"/>
      <c r="I129" s="7">
        <f t="shared" si="12"/>
        <v>5250000</v>
      </c>
      <c r="J129" s="7">
        <f t="shared" si="13"/>
        <v>7500000</v>
      </c>
      <c r="K129" s="7">
        <f t="shared" si="14"/>
        <v>2250000</v>
      </c>
      <c r="L129" s="10">
        <f t="shared" si="15"/>
        <v>0.3</v>
      </c>
    </row>
    <row r="130" spans="1:12" ht="17" x14ac:dyDescent="0.2">
      <c r="A130" s="7" t="s">
        <v>556</v>
      </c>
      <c r="B130" s="7" t="s">
        <v>557</v>
      </c>
      <c r="C130" s="7" t="s">
        <v>350</v>
      </c>
      <c r="D130" s="7" t="s">
        <v>351</v>
      </c>
      <c r="E130" s="7" t="s">
        <v>410</v>
      </c>
      <c r="F130" s="7">
        <v>1</v>
      </c>
      <c r="G130" s="7">
        <v>2100000</v>
      </c>
      <c r="H130" s="9"/>
      <c r="I130" s="7">
        <f t="shared" ref="I130:I136" si="16">G130*70%</f>
        <v>1470000</v>
      </c>
      <c r="J130" s="7">
        <f t="shared" ref="J130:J136" si="17">F130*G130</f>
        <v>2100000</v>
      </c>
      <c r="K130" s="7">
        <f t="shared" ref="K130:K161" si="18">J130-(F130*I130)</f>
        <v>630000</v>
      </c>
      <c r="L130" s="10">
        <f t="shared" ref="L130:L161" si="19">K130/J130</f>
        <v>0.3</v>
      </c>
    </row>
    <row r="131" spans="1:12" ht="17" x14ac:dyDescent="0.2">
      <c r="A131" s="7" t="s">
        <v>558</v>
      </c>
      <c r="B131" s="7" t="s">
        <v>559</v>
      </c>
      <c r="C131" s="7" t="s">
        <v>354</v>
      </c>
      <c r="D131" s="7" t="s">
        <v>355</v>
      </c>
      <c r="E131" s="7" t="s">
        <v>576</v>
      </c>
      <c r="F131" s="7">
        <v>5</v>
      </c>
      <c r="G131" s="7">
        <v>450000</v>
      </c>
      <c r="H131" s="7" t="s">
        <v>348</v>
      </c>
      <c r="I131" s="7">
        <f t="shared" si="16"/>
        <v>315000</v>
      </c>
      <c r="J131" s="7">
        <f t="shared" si="17"/>
        <v>2250000</v>
      </c>
      <c r="K131" s="7">
        <f t="shared" si="18"/>
        <v>675000</v>
      </c>
      <c r="L131" s="10">
        <f t="shared" si="19"/>
        <v>0.3</v>
      </c>
    </row>
    <row r="132" spans="1:12" ht="17" x14ac:dyDescent="0.2">
      <c r="A132" s="7" t="s">
        <v>560</v>
      </c>
      <c r="B132" s="7" t="s">
        <v>561</v>
      </c>
      <c r="C132" s="7" t="s">
        <v>359</v>
      </c>
      <c r="D132" s="9"/>
      <c r="E132" s="7" t="s">
        <v>570</v>
      </c>
      <c r="F132" s="7">
        <v>1</v>
      </c>
      <c r="G132" s="7">
        <v>25000000</v>
      </c>
      <c r="H132" s="9"/>
      <c r="I132" s="7">
        <f t="shared" si="16"/>
        <v>17500000</v>
      </c>
      <c r="J132" s="7">
        <f t="shared" si="17"/>
        <v>25000000</v>
      </c>
      <c r="K132" s="7">
        <f t="shared" si="18"/>
        <v>7500000</v>
      </c>
      <c r="L132" s="10">
        <f t="shared" si="19"/>
        <v>0.3</v>
      </c>
    </row>
    <row r="133" spans="1:12" ht="17" x14ac:dyDescent="0.2">
      <c r="A133" s="7" t="s">
        <v>562</v>
      </c>
      <c r="B133" s="7" t="s">
        <v>563</v>
      </c>
      <c r="C133" s="7" t="s">
        <v>362</v>
      </c>
      <c r="D133" s="7" t="s">
        <v>351</v>
      </c>
      <c r="E133" s="7" t="s">
        <v>571</v>
      </c>
      <c r="F133" s="7">
        <v>1</v>
      </c>
      <c r="G133" s="7">
        <v>1800000</v>
      </c>
      <c r="H133" s="9"/>
      <c r="I133" s="7">
        <f t="shared" si="16"/>
        <v>1260000</v>
      </c>
      <c r="J133" s="7">
        <f t="shared" si="17"/>
        <v>1800000</v>
      </c>
      <c r="K133" s="7">
        <f t="shared" si="18"/>
        <v>540000</v>
      </c>
      <c r="L133" s="10">
        <f t="shared" si="19"/>
        <v>0.3</v>
      </c>
    </row>
    <row r="134" spans="1:12" ht="17" x14ac:dyDescent="0.2">
      <c r="A134" s="7" t="s">
        <v>564</v>
      </c>
      <c r="B134" s="7" t="s">
        <v>565</v>
      </c>
      <c r="C134" s="7" t="s">
        <v>345</v>
      </c>
      <c r="D134" s="7" t="s">
        <v>346</v>
      </c>
      <c r="E134" s="7" t="s">
        <v>572</v>
      </c>
      <c r="F134" s="7">
        <v>2</v>
      </c>
      <c r="G134" s="7">
        <v>2200000</v>
      </c>
      <c r="H134" s="9"/>
      <c r="I134" s="7">
        <f t="shared" si="16"/>
        <v>1540000</v>
      </c>
      <c r="J134" s="7">
        <f t="shared" si="17"/>
        <v>4400000</v>
      </c>
      <c r="K134" s="7">
        <f t="shared" si="18"/>
        <v>1320000</v>
      </c>
      <c r="L134" s="10">
        <f t="shared" si="19"/>
        <v>0.3</v>
      </c>
    </row>
    <row r="135" spans="1:12" ht="17" x14ac:dyDescent="0.2">
      <c r="A135" s="7" t="s">
        <v>566</v>
      </c>
      <c r="B135" s="7" t="s">
        <v>567</v>
      </c>
      <c r="C135" s="7" t="s">
        <v>350</v>
      </c>
      <c r="D135" s="7" t="s">
        <v>351</v>
      </c>
      <c r="E135" s="7" t="s">
        <v>571</v>
      </c>
      <c r="F135" s="7">
        <v>1</v>
      </c>
      <c r="G135" s="7">
        <v>1800000</v>
      </c>
      <c r="H135" s="9"/>
      <c r="I135" s="7">
        <f t="shared" si="16"/>
        <v>1260000</v>
      </c>
      <c r="J135" s="7">
        <f t="shared" si="17"/>
        <v>1800000</v>
      </c>
      <c r="K135" s="7">
        <f t="shared" si="18"/>
        <v>540000</v>
      </c>
      <c r="L135" s="10">
        <f t="shared" si="19"/>
        <v>0.3</v>
      </c>
    </row>
    <row r="136" spans="1:12" ht="17" x14ac:dyDescent="0.2">
      <c r="A136" s="7" t="s">
        <v>568</v>
      </c>
      <c r="B136" s="7" t="s">
        <v>569</v>
      </c>
      <c r="C136" s="7" t="s">
        <v>354</v>
      </c>
      <c r="D136" s="7" t="s">
        <v>355</v>
      </c>
      <c r="E136" s="7" t="s">
        <v>574</v>
      </c>
      <c r="F136" s="7">
        <v>1</v>
      </c>
      <c r="G136" s="7">
        <v>2500000</v>
      </c>
      <c r="H136" s="9"/>
      <c r="I136" s="7">
        <f t="shared" si="16"/>
        <v>1750000</v>
      </c>
      <c r="J136" s="7">
        <f t="shared" si="17"/>
        <v>2500000</v>
      </c>
      <c r="K136" s="7">
        <f t="shared" si="18"/>
        <v>750000</v>
      </c>
      <c r="L136" s="10">
        <f t="shared" si="19"/>
        <v>0.3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0AD0-63BF-4742-81B9-FB74F450089C}">
  <dimension ref="A1:M127"/>
  <sheetViews>
    <sheetView tabSelected="1" workbookViewId="0">
      <selection activeCell="M2" sqref="M2"/>
    </sheetView>
  </sheetViews>
  <sheetFormatPr baseColWidth="10" defaultRowHeight="17" x14ac:dyDescent="0.2"/>
  <cols>
    <col min="1" max="1" width="17.1640625" customWidth="1"/>
    <col min="2" max="2" width="13.1640625" customWidth="1"/>
    <col min="3" max="3" width="24.1640625" customWidth="1"/>
    <col min="4" max="4" width="15.33203125" style="12" bestFit="1" customWidth="1"/>
    <col min="5" max="5" width="29.6640625" bestFit="1" customWidth="1"/>
    <col min="6" max="6" width="13.33203125" customWidth="1"/>
    <col min="7" max="7" width="11.6640625" customWidth="1"/>
    <col min="8" max="8" width="18.6640625" bestFit="1" customWidth="1"/>
    <col min="9" max="9" width="14.33203125" bestFit="1" customWidth="1"/>
    <col min="11" max="11" width="23.83203125" bestFit="1" customWidth="1"/>
    <col min="12" max="12" width="20.5" bestFit="1" customWidth="1"/>
    <col min="13" max="13" width="20.1640625" bestFit="1" customWidth="1"/>
  </cols>
  <sheetData>
    <row r="1" spans="1:13" x14ac:dyDescent="0.2">
      <c r="A1" s="6" t="s">
        <v>336</v>
      </c>
      <c r="B1" s="6" t="s">
        <v>337</v>
      </c>
      <c r="C1" s="6" t="s">
        <v>338</v>
      </c>
      <c r="D1" s="11" t="s">
        <v>339</v>
      </c>
      <c r="E1" s="6" t="s">
        <v>340</v>
      </c>
      <c r="F1" s="6" t="s">
        <v>341</v>
      </c>
      <c r="G1" s="6" t="s">
        <v>342</v>
      </c>
      <c r="H1" s="6" t="s">
        <v>343</v>
      </c>
      <c r="I1" s="6" t="s">
        <v>578</v>
      </c>
      <c r="K1" s="13" t="s">
        <v>582</v>
      </c>
      <c r="L1" s="13" t="s">
        <v>583</v>
      </c>
      <c r="M1" s="13" t="s">
        <v>584</v>
      </c>
    </row>
    <row r="2" spans="1:13" x14ac:dyDescent="0.2">
      <c r="A2" s="7" t="s">
        <v>349</v>
      </c>
      <c r="B2" s="8">
        <v>44929</v>
      </c>
      <c r="C2" s="7" t="s">
        <v>350</v>
      </c>
      <c r="D2" s="7" t="s">
        <v>351</v>
      </c>
      <c r="E2" s="7" t="s">
        <v>352</v>
      </c>
      <c r="F2" s="7">
        <v>2</v>
      </c>
      <c r="G2" s="7">
        <v>1800000</v>
      </c>
      <c r="H2" s="9"/>
      <c r="I2" s="7">
        <f t="shared" ref="I2:I33" si="0">F2*G2</f>
        <v>3600000</v>
      </c>
      <c r="K2" s="13">
        <f>SUM(Table4[Doanh thu])</f>
        <v>896914400</v>
      </c>
      <c r="L2" s="13">
        <f>SUM(Table4[Số lượng])</f>
        <v>185</v>
      </c>
      <c r="M2" s="13">
        <f>COUNTA(Table4[Mã đơn hàng])</f>
        <v>124</v>
      </c>
    </row>
    <row r="3" spans="1:13" x14ac:dyDescent="0.2">
      <c r="A3" s="7" t="s">
        <v>353</v>
      </c>
      <c r="B3" s="8">
        <v>44929</v>
      </c>
      <c r="C3" s="7" t="s">
        <v>354</v>
      </c>
      <c r="D3" s="7" t="s">
        <v>355</v>
      </c>
      <c r="E3" s="7" t="s">
        <v>356</v>
      </c>
      <c r="F3" s="7">
        <v>1</v>
      </c>
      <c r="G3" s="7">
        <v>2200000</v>
      </c>
      <c r="H3" s="7" t="s">
        <v>357</v>
      </c>
      <c r="I3" s="7">
        <f t="shared" si="0"/>
        <v>2200000</v>
      </c>
      <c r="M3" s="13"/>
    </row>
    <row r="4" spans="1:13" x14ac:dyDescent="0.2">
      <c r="A4" s="7" t="s">
        <v>361</v>
      </c>
      <c r="B4" s="8">
        <v>44931</v>
      </c>
      <c r="C4" s="7" t="s">
        <v>362</v>
      </c>
      <c r="D4" s="7" t="s">
        <v>351</v>
      </c>
      <c r="E4" s="7" t="s">
        <v>363</v>
      </c>
      <c r="F4" s="7">
        <v>3</v>
      </c>
      <c r="G4" s="7">
        <v>2500000</v>
      </c>
      <c r="H4" s="7" t="s">
        <v>364</v>
      </c>
      <c r="I4" s="7">
        <f t="shared" si="0"/>
        <v>7500000</v>
      </c>
    </row>
    <row r="5" spans="1:13" x14ac:dyDescent="0.2">
      <c r="A5" s="7" t="s">
        <v>365</v>
      </c>
      <c r="B5" s="8">
        <v>44931</v>
      </c>
      <c r="C5" s="7" t="s">
        <v>345</v>
      </c>
      <c r="D5" s="7" t="s">
        <v>346</v>
      </c>
      <c r="E5" s="7" t="s">
        <v>366</v>
      </c>
      <c r="F5" s="7">
        <v>1</v>
      </c>
      <c r="G5" s="7">
        <v>7500000</v>
      </c>
      <c r="H5" s="9"/>
      <c r="I5" s="7">
        <f t="shared" si="0"/>
        <v>7500000</v>
      </c>
    </row>
    <row r="6" spans="1:13" x14ac:dyDescent="0.2">
      <c r="A6" s="7" t="s">
        <v>367</v>
      </c>
      <c r="B6" s="8">
        <v>44932</v>
      </c>
      <c r="C6" s="7" t="s">
        <v>350</v>
      </c>
      <c r="D6" s="7" t="s">
        <v>351</v>
      </c>
      <c r="E6" s="7" t="s">
        <v>347</v>
      </c>
      <c r="F6" s="7">
        <v>1</v>
      </c>
      <c r="G6" s="7">
        <v>25000000</v>
      </c>
      <c r="H6" s="9"/>
      <c r="I6" s="7">
        <f t="shared" si="0"/>
        <v>25000000</v>
      </c>
    </row>
    <row r="7" spans="1:13" x14ac:dyDescent="0.2">
      <c r="A7" s="7" t="s">
        <v>368</v>
      </c>
      <c r="B7" s="8">
        <v>44933</v>
      </c>
      <c r="C7" s="7" t="s">
        <v>354</v>
      </c>
      <c r="D7" s="7" t="s">
        <v>355</v>
      </c>
      <c r="E7" s="7" t="s">
        <v>352</v>
      </c>
      <c r="F7" s="7">
        <v>1</v>
      </c>
      <c r="G7" s="7">
        <v>1800000</v>
      </c>
      <c r="H7" s="9"/>
      <c r="I7" s="7">
        <f t="shared" si="0"/>
        <v>1800000</v>
      </c>
    </row>
    <row r="8" spans="1:13" x14ac:dyDescent="0.2">
      <c r="A8" s="7" t="s">
        <v>369</v>
      </c>
      <c r="B8" s="8">
        <v>44934</v>
      </c>
      <c r="C8" s="7" t="s">
        <v>359</v>
      </c>
      <c r="D8" s="12" t="s">
        <v>581</v>
      </c>
      <c r="E8" s="7" t="s">
        <v>356</v>
      </c>
      <c r="F8" s="7">
        <v>2</v>
      </c>
      <c r="G8" s="7">
        <v>2200000</v>
      </c>
      <c r="H8" s="9"/>
      <c r="I8" s="7">
        <f t="shared" si="0"/>
        <v>4400000</v>
      </c>
    </row>
    <row r="9" spans="1:13" x14ac:dyDescent="0.2">
      <c r="A9" s="7" t="s">
        <v>370</v>
      </c>
      <c r="B9" s="8">
        <v>44934</v>
      </c>
      <c r="C9" s="7" t="s">
        <v>362</v>
      </c>
      <c r="D9" s="7" t="s">
        <v>351</v>
      </c>
      <c r="E9" s="7" t="s">
        <v>360</v>
      </c>
      <c r="F9" s="7">
        <v>1</v>
      </c>
      <c r="G9" s="7">
        <v>6500000</v>
      </c>
      <c r="H9" s="9"/>
      <c r="I9" s="7">
        <f t="shared" si="0"/>
        <v>6500000</v>
      </c>
    </row>
    <row r="10" spans="1:13" x14ac:dyDescent="0.2">
      <c r="A10" s="7" t="s">
        <v>371</v>
      </c>
      <c r="B10" s="8">
        <v>44935</v>
      </c>
      <c r="C10" s="7" t="s">
        <v>345</v>
      </c>
      <c r="D10" s="7" t="s">
        <v>346</v>
      </c>
      <c r="E10" s="7" t="s">
        <v>363</v>
      </c>
      <c r="F10" s="7">
        <v>1</v>
      </c>
      <c r="G10" s="7">
        <v>2500000</v>
      </c>
      <c r="H10" s="7" t="s">
        <v>372</v>
      </c>
      <c r="I10" s="7">
        <f t="shared" si="0"/>
        <v>2500000</v>
      </c>
    </row>
    <row r="11" spans="1:13" x14ac:dyDescent="0.2">
      <c r="A11" s="7" t="s">
        <v>374</v>
      </c>
      <c r="B11" s="8">
        <v>44937</v>
      </c>
      <c r="C11" s="7" t="s">
        <v>354</v>
      </c>
      <c r="D11" s="7" t="s">
        <v>355</v>
      </c>
      <c r="E11" s="7" t="s">
        <v>347</v>
      </c>
      <c r="F11" s="7">
        <v>1</v>
      </c>
      <c r="G11" s="7">
        <v>25000000</v>
      </c>
      <c r="H11" s="9"/>
      <c r="I11" s="7">
        <f t="shared" si="0"/>
        <v>25000000</v>
      </c>
    </row>
    <row r="12" spans="1:13" x14ac:dyDescent="0.2">
      <c r="A12" s="7" t="s">
        <v>375</v>
      </c>
      <c r="B12" s="8">
        <v>44938</v>
      </c>
      <c r="C12" s="7" t="s">
        <v>359</v>
      </c>
      <c r="D12" s="12" t="s">
        <v>581</v>
      </c>
      <c r="E12" s="7" t="s">
        <v>376</v>
      </c>
      <c r="F12" s="7">
        <v>1</v>
      </c>
      <c r="G12" s="7">
        <v>1800000</v>
      </c>
      <c r="H12" s="9"/>
      <c r="I12" s="7">
        <f t="shared" si="0"/>
        <v>1800000</v>
      </c>
    </row>
    <row r="13" spans="1:13" x14ac:dyDescent="0.2">
      <c r="A13" s="7" t="s">
        <v>377</v>
      </c>
      <c r="B13" s="8">
        <v>44938</v>
      </c>
      <c r="C13" s="7" t="s">
        <v>362</v>
      </c>
      <c r="D13" s="7" t="s">
        <v>351</v>
      </c>
      <c r="E13" s="7" t="s">
        <v>356</v>
      </c>
      <c r="F13" s="7">
        <v>1</v>
      </c>
      <c r="G13" s="7">
        <v>2200000</v>
      </c>
      <c r="H13" s="7" t="s">
        <v>378</v>
      </c>
      <c r="I13" s="7">
        <f t="shared" si="0"/>
        <v>2200000</v>
      </c>
    </row>
    <row r="14" spans="1:13" x14ac:dyDescent="0.2">
      <c r="A14" s="7" t="s">
        <v>379</v>
      </c>
      <c r="B14" s="7" t="s">
        <v>380</v>
      </c>
      <c r="C14" s="7" t="s">
        <v>345</v>
      </c>
      <c r="D14" s="7" t="s">
        <v>346</v>
      </c>
      <c r="E14" s="7" t="s">
        <v>360</v>
      </c>
      <c r="F14" s="7">
        <v>2</v>
      </c>
      <c r="G14" s="7">
        <v>6500000</v>
      </c>
      <c r="H14" s="9"/>
      <c r="I14" s="7">
        <f t="shared" si="0"/>
        <v>13000000</v>
      </c>
    </row>
    <row r="15" spans="1:13" x14ac:dyDescent="0.2">
      <c r="A15" s="7" t="s">
        <v>381</v>
      </c>
      <c r="B15" s="7" t="s">
        <v>382</v>
      </c>
      <c r="C15" s="7" t="s">
        <v>350</v>
      </c>
      <c r="D15" s="7" t="s">
        <v>351</v>
      </c>
      <c r="E15" s="7" t="s">
        <v>363</v>
      </c>
      <c r="F15" s="7">
        <v>1</v>
      </c>
      <c r="G15" s="7">
        <v>2500000</v>
      </c>
      <c r="H15" s="9"/>
      <c r="I15" s="7">
        <f t="shared" si="0"/>
        <v>2500000</v>
      </c>
    </row>
    <row r="16" spans="1:13" x14ac:dyDescent="0.2">
      <c r="A16" s="7" t="s">
        <v>383</v>
      </c>
      <c r="B16" s="7" t="s">
        <v>384</v>
      </c>
      <c r="C16" s="7" t="s">
        <v>354</v>
      </c>
      <c r="D16" s="7" t="s">
        <v>355</v>
      </c>
      <c r="E16" s="7" t="s">
        <v>366</v>
      </c>
      <c r="F16" s="7">
        <v>1</v>
      </c>
      <c r="G16" s="7">
        <v>7500000</v>
      </c>
      <c r="H16" s="9"/>
      <c r="I16" s="7">
        <f t="shared" si="0"/>
        <v>7500000</v>
      </c>
    </row>
    <row r="17" spans="1:9" x14ac:dyDescent="0.2">
      <c r="A17" s="7" t="s">
        <v>385</v>
      </c>
      <c r="B17" s="7" t="s">
        <v>384</v>
      </c>
      <c r="C17" s="7" t="s">
        <v>359</v>
      </c>
      <c r="D17" s="12" t="s">
        <v>581</v>
      </c>
      <c r="E17" s="7" t="s">
        <v>386</v>
      </c>
      <c r="F17" s="7">
        <v>1</v>
      </c>
      <c r="G17" s="7">
        <v>25000000</v>
      </c>
      <c r="H17" s="9"/>
      <c r="I17" s="7">
        <f t="shared" si="0"/>
        <v>25000000</v>
      </c>
    </row>
    <row r="18" spans="1:9" x14ac:dyDescent="0.2">
      <c r="A18" s="7" t="s">
        <v>387</v>
      </c>
      <c r="B18" s="7" t="s">
        <v>388</v>
      </c>
      <c r="C18" s="7" t="s">
        <v>362</v>
      </c>
      <c r="D18" s="7" t="s">
        <v>351</v>
      </c>
      <c r="E18" s="7" t="s">
        <v>352</v>
      </c>
      <c r="F18" s="7">
        <v>3</v>
      </c>
      <c r="G18" s="7">
        <v>1800000</v>
      </c>
      <c r="H18" s="9"/>
      <c r="I18" s="7">
        <f t="shared" si="0"/>
        <v>5400000</v>
      </c>
    </row>
    <row r="19" spans="1:9" x14ac:dyDescent="0.2">
      <c r="A19" s="7" t="s">
        <v>389</v>
      </c>
      <c r="B19" s="7" t="s">
        <v>390</v>
      </c>
      <c r="C19" s="7" t="s">
        <v>345</v>
      </c>
      <c r="D19" s="7" t="s">
        <v>346</v>
      </c>
      <c r="E19" s="7" t="s">
        <v>356</v>
      </c>
      <c r="F19" s="7">
        <v>1</v>
      </c>
      <c r="G19" s="7">
        <v>2200000</v>
      </c>
      <c r="H19" s="9"/>
      <c r="I19" s="7">
        <f t="shared" si="0"/>
        <v>2200000</v>
      </c>
    </row>
    <row r="20" spans="1:9" x14ac:dyDescent="0.2">
      <c r="A20" s="7" t="s">
        <v>391</v>
      </c>
      <c r="B20" s="7" t="s">
        <v>392</v>
      </c>
      <c r="C20" s="7" t="s">
        <v>350</v>
      </c>
      <c r="D20" s="7" t="s">
        <v>351</v>
      </c>
      <c r="E20" s="7" t="s">
        <v>360</v>
      </c>
      <c r="F20" s="7">
        <v>1</v>
      </c>
      <c r="G20" s="7">
        <v>6500000</v>
      </c>
      <c r="H20" s="7" t="s">
        <v>393</v>
      </c>
      <c r="I20" s="7">
        <f t="shared" si="0"/>
        <v>6500000</v>
      </c>
    </row>
    <row r="21" spans="1:9" x14ac:dyDescent="0.2">
      <c r="A21" s="7" t="s">
        <v>394</v>
      </c>
      <c r="B21" s="7" t="s">
        <v>392</v>
      </c>
      <c r="C21" s="7" t="s">
        <v>354</v>
      </c>
      <c r="D21" s="7" t="s">
        <v>355</v>
      </c>
      <c r="E21" s="7" t="s">
        <v>363</v>
      </c>
      <c r="F21" s="7">
        <v>2</v>
      </c>
      <c r="G21" s="7">
        <v>2500000</v>
      </c>
      <c r="H21" s="9"/>
      <c r="I21" s="7">
        <f t="shared" si="0"/>
        <v>5000000</v>
      </c>
    </row>
    <row r="22" spans="1:9" x14ac:dyDescent="0.2">
      <c r="A22" s="7" t="s">
        <v>395</v>
      </c>
      <c r="B22" s="7" t="s">
        <v>396</v>
      </c>
      <c r="C22" s="7" t="s">
        <v>359</v>
      </c>
      <c r="D22" s="12" t="s">
        <v>581</v>
      </c>
      <c r="E22" s="7" t="s">
        <v>366</v>
      </c>
      <c r="F22" s="7">
        <v>1</v>
      </c>
      <c r="G22" s="7">
        <v>7500000</v>
      </c>
      <c r="H22" s="9"/>
      <c r="I22" s="7">
        <f t="shared" si="0"/>
        <v>7500000</v>
      </c>
    </row>
    <row r="23" spans="1:9" x14ac:dyDescent="0.2">
      <c r="A23" s="7" t="s">
        <v>397</v>
      </c>
      <c r="B23" s="7" t="s">
        <v>398</v>
      </c>
      <c r="C23" s="7" t="s">
        <v>362</v>
      </c>
      <c r="D23" s="7" t="s">
        <v>351</v>
      </c>
      <c r="E23" s="7" t="s">
        <v>347</v>
      </c>
      <c r="F23" s="7">
        <v>1</v>
      </c>
      <c r="G23" s="7">
        <v>25000000</v>
      </c>
      <c r="H23" s="9"/>
      <c r="I23" s="7">
        <f t="shared" si="0"/>
        <v>25000000</v>
      </c>
    </row>
    <row r="24" spans="1:9" x14ac:dyDescent="0.2">
      <c r="A24" s="7" t="s">
        <v>397</v>
      </c>
      <c r="B24" s="7" t="s">
        <v>398</v>
      </c>
      <c r="C24" s="7" t="s">
        <v>362</v>
      </c>
      <c r="D24" s="7" t="s">
        <v>351</v>
      </c>
      <c r="E24" s="7" t="s">
        <v>347</v>
      </c>
      <c r="F24" s="7">
        <v>1</v>
      </c>
      <c r="G24" s="7">
        <v>25000000</v>
      </c>
      <c r="H24" s="9"/>
      <c r="I24" s="7">
        <f t="shared" si="0"/>
        <v>25000000</v>
      </c>
    </row>
    <row r="25" spans="1:9" x14ac:dyDescent="0.2">
      <c r="A25" s="7" t="s">
        <v>399</v>
      </c>
      <c r="B25" s="7" t="s">
        <v>400</v>
      </c>
      <c r="C25" s="7" t="s">
        <v>345</v>
      </c>
      <c r="D25" s="7" t="s">
        <v>401</v>
      </c>
      <c r="E25" s="7" t="s">
        <v>352</v>
      </c>
      <c r="F25" s="7">
        <v>1</v>
      </c>
      <c r="G25" s="7">
        <v>1800000</v>
      </c>
      <c r="H25" s="9"/>
      <c r="I25" s="7">
        <f t="shared" si="0"/>
        <v>1800000</v>
      </c>
    </row>
    <row r="26" spans="1:9" x14ac:dyDescent="0.2">
      <c r="A26" s="7" t="s">
        <v>402</v>
      </c>
      <c r="B26" s="7" t="s">
        <v>403</v>
      </c>
      <c r="C26" s="7" t="s">
        <v>350</v>
      </c>
      <c r="D26" s="7" t="s">
        <v>351</v>
      </c>
      <c r="E26" s="7" t="s">
        <v>356</v>
      </c>
      <c r="F26" s="7">
        <v>1</v>
      </c>
      <c r="G26" s="7">
        <v>2200000</v>
      </c>
      <c r="H26" s="9"/>
      <c r="I26" s="7">
        <f t="shared" si="0"/>
        <v>2200000</v>
      </c>
    </row>
    <row r="27" spans="1:9" x14ac:dyDescent="0.2">
      <c r="A27" s="7" t="s">
        <v>404</v>
      </c>
      <c r="B27" s="7" t="s">
        <v>405</v>
      </c>
      <c r="C27" s="7" t="s">
        <v>354</v>
      </c>
      <c r="D27" s="7" t="s">
        <v>355</v>
      </c>
      <c r="E27" s="7" t="s">
        <v>360</v>
      </c>
      <c r="F27" s="7">
        <v>1</v>
      </c>
      <c r="G27" s="7">
        <v>6500000</v>
      </c>
      <c r="H27" s="9"/>
      <c r="I27" s="7">
        <f t="shared" si="0"/>
        <v>6500000</v>
      </c>
    </row>
    <row r="28" spans="1:9" x14ac:dyDescent="0.2">
      <c r="A28" s="7" t="s">
        <v>406</v>
      </c>
      <c r="B28" s="7" t="s">
        <v>405</v>
      </c>
      <c r="C28" s="7" t="s">
        <v>359</v>
      </c>
      <c r="D28" s="12" t="s">
        <v>581</v>
      </c>
      <c r="E28" s="7" t="s">
        <v>363</v>
      </c>
      <c r="F28" s="7">
        <v>4</v>
      </c>
      <c r="G28" s="7">
        <v>2500000</v>
      </c>
      <c r="H28" s="9"/>
      <c r="I28" s="7">
        <f t="shared" si="0"/>
        <v>10000000</v>
      </c>
    </row>
    <row r="29" spans="1:9" x14ac:dyDescent="0.2">
      <c r="A29" s="7" t="s">
        <v>407</v>
      </c>
      <c r="B29" s="7" t="s">
        <v>408</v>
      </c>
      <c r="C29" s="7" t="s">
        <v>362</v>
      </c>
      <c r="D29" s="7" t="s">
        <v>351</v>
      </c>
      <c r="E29" s="7" t="s">
        <v>366</v>
      </c>
      <c r="F29" s="7">
        <v>1</v>
      </c>
      <c r="G29" s="7">
        <v>7500000</v>
      </c>
      <c r="H29" s="9"/>
      <c r="I29" s="7">
        <f t="shared" si="0"/>
        <v>7500000</v>
      </c>
    </row>
    <row r="30" spans="1:9" x14ac:dyDescent="0.2">
      <c r="A30" s="7" t="s">
        <v>409</v>
      </c>
      <c r="B30" s="8">
        <v>44958</v>
      </c>
      <c r="C30" s="7" t="s">
        <v>345</v>
      </c>
      <c r="D30" s="7" t="s">
        <v>346</v>
      </c>
      <c r="E30" s="7" t="s">
        <v>410</v>
      </c>
      <c r="F30" s="7">
        <v>2</v>
      </c>
      <c r="G30" s="7">
        <v>2100000</v>
      </c>
      <c r="H30" s="9"/>
      <c r="I30" s="7">
        <f t="shared" si="0"/>
        <v>4200000</v>
      </c>
    </row>
    <row r="31" spans="1:9" x14ac:dyDescent="0.2">
      <c r="A31" s="7" t="s">
        <v>411</v>
      </c>
      <c r="B31" s="8">
        <v>44959</v>
      </c>
      <c r="C31" s="7" t="s">
        <v>350</v>
      </c>
      <c r="D31" s="7" t="s">
        <v>351</v>
      </c>
      <c r="E31" s="7" t="s">
        <v>412</v>
      </c>
      <c r="F31" s="7">
        <v>3</v>
      </c>
      <c r="G31" s="7">
        <v>450</v>
      </c>
      <c r="H31" s="9"/>
      <c r="I31" s="7">
        <f t="shared" si="0"/>
        <v>1350</v>
      </c>
    </row>
    <row r="32" spans="1:9" x14ac:dyDescent="0.2">
      <c r="A32" s="7" t="s">
        <v>413</v>
      </c>
      <c r="B32" s="8">
        <v>44959</v>
      </c>
      <c r="C32" s="7" t="s">
        <v>354</v>
      </c>
      <c r="D32" s="7" t="s">
        <v>355</v>
      </c>
      <c r="E32" s="7" t="s">
        <v>347</v>
      </c>
      <c r="F32" s="7">
        <v>1</v>
      </c>
      <c r="G32" s="7">
        <v>25000000</v>
      </c>
      <c r="H32" s="9"/>
      <c r="I32" s="7">
        <f t="shared" si="0"/>
        <v>25000000</v>
      </c>
    </row>
    <row r="33" spans="1:9" x14ac:dyDescent="0.2">
      <c r="A33" s="7" t="s">
        <v>414</v>
      </c>
      <c r="B33" s="8">
        <v>44960</v>
      </c>
      <c r="C33" s="7" t="s">
        <v>359</v>
      </c>
      <c r="D33" s="12" t="s">
        <v>581</v>
      </c>
      <c r="E33" s="7" t="s">
        <v>352</v>
      </c>
      <c r="F33" s="7">
        <v>1</v>
      </c>
      <c r="G33" s="7">
        <v>1800000</v>
      </c>
      <c r="H33" s="7" t="s">
        <v>364</v>
      </c>
      <c r="I33" s="7">
        <f t="shared" si="0"/>
        <v>1800000</v>
      </c>
    </row>
    <row r="34" spans="1:9" x14ac:dyDescent="0.2">
      <c r="A34" s="7" t="s">
        <v>415</v>
      </c>
      <c r="B34" s="8">
        <v>44961</v>
      </c>
      <c r="C34" s="7" t="s">
        <v>362</v>
      </c>
      <c r="D34" s="7" t="s">
        <v>351</v>
      </c>
      <c r="E34" s="7" t="s">
        <v>356</v>
      </c>
      <c r="F34" s="7">
        <v>1</v>
      </c>
      <c r="G34" s="7">
        <v>2200000</v>
      </c>
      <c r="H34" s="9"/>
      <c r="I34" s="7">
        <f t="shared" ref="I34:I65" si="1">F34*G34</f>
        <v>2200000</v>
      </c>
    </row>
    <row r="35" spans="1:9" x14ac:dyDescent="0.2">
      <c r="A35" s="7" t="s">
        <v>416</v>
      </c>
      <c r="B35" s="8">
        <v>44962</v>
      </c>
      <c r="C35" s="7" t="s">
        <v>345</v>
      </c>
      <c r="D35" s="7" t="s">
        <v>346</v>
      </c>
      <c r="E35" s="7" t="s">
        <v>417</v>
      </c>
      <c r="F35" s="7">
        <v>1</v>
      </c>
      <c r="G35" s="7">
        <v>6500000</v>
      </c>
      <c r="H35" s="9"/>
      <c r="I35" s="7">
        <f t="shared" si="1"/>
        <v>6500000</v>
      </c>
    </row>
    <row r="36" spans="1:9" x14ac:dyDescent="0.2">
      <c r="A36" s="7" t="s">
        <v>418</v>
      </c>
      <c r="B36" s="8">
        <v>44962</v>
      </c>
      <c r="C36" s="7" t="s">
        <v>350</v>
      </c>
      <c r="D36" s="7" t="s">
        <v>351</v>
      </c>
      <c r="E36" s="7" t="s">
        <v>363</v>
      </c>
      <c r="F36" s="7">
        <v>2</v>
      </c>
      <c r="G36" s="7">
        <v>2500000</v>
      </c>
      <c r="H36" s="9"/>
      <c r="I36" s="7">
        <f t="shared" si="1"/>
        <v>5000000</v>
      </c>
    </row>
    <row r="37" spans="1:9" x14ac:dyDescent="0.2">
      <c r="A37" s="7" t="s">
        <v>419</v>
      </c>
      <c r="B37" s="8">
        <v>44963</v>
      </c>
      <c r="C37" s="7" t="s">
        <v>354</v>
      </c>
      <c r="D37" s="7" t="s">
        <v>355</v>
      </c>
      <c r="E37" s="7" t="s">
        <v>366</v>
      </c>
      <c r="F37" s="7">
        <v>1</v>
      </c>
      <c r="G37" s="7">
        <v>7500000</v>
      </c>
      <c r="H37" s="9"/>
      <c r="I37" s="7">
        <f t="shared" si="1"/>
        <v>7500000</v>
      </c>
    </row>
    <row r="38" spans="1:9" x14ac:dyDescent="0.2">
      <c r="A38" s="7" t="s">
        <v>420</v>
      </c>
      <c r="B38" s="8">
        <v>44964</v>
      </c>
      <c r="C38" s="7" t="s">
        <v>359</v>
      </c>
      <c r="D38" s="12" t="s">
        <v>581</v>
      </c>
      <c r="E38" s="7" t="s">
        <v>410</v>
      </c>
      <c r="F38" s="7">
        <v>1</v>
      </c>
      <c r="G38" s="7">
        <v>2100000</v>
      </c>
      <c r="H38" s="9"/>
      <c r="I38" s="7">
        <f t="shared" si="1"/>
        <v>2100000</v>
      </c>
    </row>
    <row r="39" spans="1:9" x14ac:dyDescent="0.2">
      <c r="A39" s="7" t="s">
        <v>421</v>
      </c>
      <c r="B39" s="8">
        <v>44965</v>
      </c>
      <c r="C39" s="7" t="s">
        <v>362</v>
      </c>
      <c r="D39" s="7" t="s">
        <v>351</v>
      </c>
      <c r="E39" s="7" t="s">
        <v>422</v>
      </c>
      <c r="F39" s="7">
        <v>5</v>
      </c>
      <c r="G39" s="7">
        <v>450</v>
      </c>
      <c r="H39" s="9"/>
      <c r="I39" s="7">
        <f t="shared" si="1"/>
        <v>2250</v>
      </c>
    </row>
    <row r="40" spans="1:9" x14ac:dyDescent="0.2">
      <c r="A40" s="7" t="s">
        <v>423</v>
      </c>
      <c r="B40" s="8">
        <v>44965</v>
      </c>
      <c r="C40" s="7" t="s">
        <v>345</v>
      </c>
      <c r="D40" s="7" t="s">
        <v>346</v>
      </c>
      <c r="E40" s="7" t="s">
        <v>347</v>
      </c>
      <c r="F40" s="7">
        <v>1</v>
      </c>
      <c r="G40" s="7">
        <v>25000000</v>
      </c>
      <c r="H40" s="9"/>
      <c r="I40" s="7">
        <f t="shared" si="1"/>
        <v>25000000</v>
      </c>
    </row>
    <row r="41" spans="1:9" x14ac:dyDescent="0.2">
      <c r="A41" s="7" t="s">
        <v>424</v>
      </c>
      <c r="B41" s="8">
        <v>44966</v>
      </c>
      <c r="C41" s="7" t="s">
        <v>350</v>
      </c>
      <c r="D41" s="7" t="s">
        <v>351</v>
      </c>
      <c r="E41" s="7" t="s">
        <v>352</v>
      </c>
      <c r="F41" s="7">
        <v>1</v>
      </c>
      <c r="G41" s="7">
        <v>1800000</v>
      </c>
      <c r="H41" s="9"/>
      <c r="I41" s="7">
        <f t="shared" si="1"/>
        <v>1800000</v>
      </c>
    </row>
    <row r="42" spans="1:9" x14ac:dyDescent="0.2">
      <c r="A42" s="9"/>
      <c r="B42" s="8">
        <v>44968</v>
      </c>
      <c r="C42" s="7" t="s">
        <v>359</v>
      </c>
      <c r="D42" s="12" t="s">
        <v>581</v>
      </c>
      <c r="E42" s="7" t="s">
        <v>360</v>
      </c>
      <c r="F42" s="7">
        <v>1</v>
      </c>
      <c r="G42" s="7">
        <v>6500000</v>
      </c>
      <c r="H42" s="9"/>
      <c r="I42" s="7">
        <f t="shared" si="1"/>
        <v>6500000</v>
      </c>
    </row>
    <row r="43" spans="1:9" x14ac:dyDescent="0.2">
      <c r="A43" s="9"/>
      <c r="B43" s="8">
        <v>44968</v>
      </c>
      <c r="C43" s="7" t="s">
        <v>362</v>
      </c>
      <c r="D43" s="7" t="s">
        <v>351</v>
      </c>
      <c r="E43" s="7" t="s">
        <v>363</v>
      </c>
      <c r="F43" s="7">
        <v>1</v>
      </c>
      <c r="G43" s="7">
        <v>2500000</v>
      </c>
      <c r="H43" s="9"/>
      <c r="I43" s="7">
        <f t="shared" si="1"/>
        <v>2500000</v>
      </c>
    </row>
    <row r="44" spans="1:9" x14ac:dyDescent="0.2">
      <c r="A44" s="7" t="s">
        <v>426</v>
      </c>
      <c r="B44" s="8">
        <v>44969</v>
      </c>
      <c r="C44" s="7" t="s">
        <v>345</v>
      </c>
      <c r="D44" s="7" t="s">
        <v>346</v>
      </c>
      <c r="E44" s="7" t="s">
        <v>366</v>
      </c>
      <c r="F44" s="7">
        <v>1</v>
      </c>
      <c r="G44" s="7">
        <v>7500000</v>
      </c>
      <c r="H44" s="9"/>
      <c r="I44" s="7">
        <f t="shared" si="1"/>
        <v>7500000</v>
      </c>
    </row>
    <row r="45" spans="1:9" x14ac:dyDescent="0.2">
      <c r="A45" s="7" t="s">
        <v>427</v>
      </c>
      <c r="B45" s="7" t="s">
        <v>428</v>
      </c>
      <c r="C45" s="7" t="s">
        <v>350</v>
      </c>
      <c r="D45" s="7" t="s">
        <v>351</v>
      </c>
      <c r="E45" s="7" t="s">
        <v>410</v>
      </c>
      <c r="F45" s="7">
        <v>3</v>
      </c>
      <c r="G45" s="7">
        <v>2100000</v>
      </c>
      <c r="H45" s="7" t="s">
        <v>348</v>
      </c>
      <c r="I45" s="7">
        <f t="shared" si="1"/>
        <v>6300000</v>
      </c>
    </row>
    <row r="46" spans="1:9" x14ac:dyDescent="0.2">
      <c r="A46" s="7" t="s">
        <v>429</v>
      </c>
      <c r="B46" s="7" t="s">
        <v>430</v>
      </c>
      <c r="C46" s="7" t="s">
        <v>354</v>
      </c>
      <c r="D46" s="7" t="s">
        <v>355</v>
      </c>
      <c r="E46" s="7" t="s">
        <v>412</v>
      </c>
      <c r="F46" s="7">
        <v>2</v>
      </c>
      <c r="G46" s="7">
        <v>450</v>
      </c>
      <c r="H46" s="9"/>
      <c r="I46" s="7">
        <f t="shared" si="1"/>
        <v>900</v>
      </c>
    </row>
    <row r="47" spans="1:9" x14ac:dyDescent="0.2">
      <c r="A47" s="7" t="s">
        <v>431</v>
      </c>
      <c r="B47" s="7" t="s">
        <v>432</v>
      </c>
      <c r="C47" s="7" t="s">
        <v>359</v>
      </c>
      <c r="D47" s="12" t="s">
        <v>581</v>
      </c>
      <c r="E47" s="7" t="s">
        <v>386</v>
      </c>
      <c r="F47" s="7">
        <v>1</v>
      </c>
      <c r="G47" s="7">
        <v>2100000</v>
      </c>
      <c r="H47" s="9"/>
      <c r="I47" s="7">
        <f t="shared" si="1"/>
        <v>2100000</v>
      </c>
    </row>
    <row r="48" spans="1:9" x14ac:dyDescent="0.2">
      <c r="A48" s="7" t="s">
        <v>433</v>
      </c>
      <c r="B48" s="7" t="s">
        <v>432</v>
      </c>
      <c r="C48" s="7" t="s">
        <v>362</v>
      </c>
      <c r="D48" s="7" t="s">
        <v>351</v>
      </c>
      <c r="E48" s="7" t="s">
        <v>352</v>
      </c>
      <c r="F48" s="7">
        <v>1</v>
      </c>
      <c r="G48" s="7">
        <v>1800000</v>
      </c>
      <c r="H48" s="9"/>
      <c r="I48" s="7">
        <f t="shared" si="1"/>
        <v>1800000</v>
      </c>
    </row>
    <row r="49" spans="1:9" x14ac:dyDescent="0.2">
      <c r="A49" s="7" t="s">
        <v>434</v>
      </c>
      <c r="B49" s="7" t="s">
        <v>435</v>
      </c>
      <c r="C49" s="7" t="s">
        <v>345</v>
      </c>
      <c r="D49" s="7" t="s">
        <v>346</v>
      </c>
      <c r="E49" s="7" t="s">
        <v>356</v>
      </c>
      <c r="F49" s="7">
        <v>1</v>
      </c>
      <c r="G49" s="7">
        <v>2200000</v>
      </c>
      <c r="H49" s="9"/>
      <c r="I49" s="7">
        <f t="shared" si="1"/>
        <v>2200000</v>
      </c>
    </row>
    <row r="50" spans="1:9" x14ac:dyDescent="0.2">
      <c r="A50" s="7" t="s">
        <v>438</v>
      </c>
      <c r="B50" s="7" t="s">
        <v>439</v>
      </c>
      <c r="C50" s="7" t="s">
        <v>354</v>
      </c>
      <c r="D50" s="7" t="s">
        <v>355</v>
      </c>
      <c r="E50" s="7" t="s">
        <v>440</v>
      </c>
      <c r="F50" s="7">
        <v>1</v>
      </c>
      <c r="G50" s="7">
        <v>2500000</v>
      </c>
      <c r="H50" s="9"/>
      <c r="I50" s="7">
        <f t="shared" si="1"/>
        <v>2500000</v>
      </c>
    </row>
    <row r="51" spans="1:9" x14ac:dyDescent="0.2">
      <c r="A51" s="7" t="s">
        <v>441</v>
      </c>
      <c r="B51" s="7" t="s">
        <v>439</v>
      </c>
      <c r="C51" s="7" t="s">
        <v>359</v>
      </c>
      <c r="D51" s="12" t="s">
        <v>581</v>
      </c>
      <c r="E51" s="7" t="s">
        <v>366</v>
      </c>
      <c r="F51" s="7">
        <v>2</v>
      </c>
      <c r="G51" s="7">
        <v>7500000</v>
      </c>
      <c r="H51" s="9"/>
      <c r="I51" s="7">
        <f t="shared" si="1"/>
        <v>15000000</v>
      </c>
    </row>
    <row r="52" spans="1:9" x14ac:dyDescent="0.2">
      <c r="A52" s="7" t="s">
        <v>442</v>
      </c>
      <c r="B52" s="7" t="s">
        <v>443</v>
      </c>
      <c r="C52" s="7" t="s">
        <v>362</v>
      </c>
      <c r="D52" s="7" t="s">
        <v>351</v>
      </c>
      <c r="E52" s="7" t="s">
        <v>410</v>
      </c>
      <c r="F52" s="7">
        <v>1</v>
      </c>
      <c r="G52" s="7">
        <v>2100000</v>
      </c>
      <c r="H52" s="9"/>
      <c r="I52" s="7">
        <f t="shared" si="1"/>
        <v>2100000</v>
      </c>
    </row>
    <row r="53" spans="1:9" x14ac:dyDescent="0.2">
      <c r="A53" s="7" t="s">
        <v>444</v>
      </c>
      <c r="B53" s="7" t="s">
        <v>445</v>
      </c>
      <c r="C53" s="7" t="s">
        <v>345</v>
      </c>
      <c r="D53" s="7" t="s">
        <v>346</v>
      </c>
      <c r="E53" s="7" t="s">
        <v>412</v>
      </c>
      <c r="F53" s="7">
        <v>4</v>
      </c>
      <c r="G53" s="7">
        <v>450</v>
      </c>
      <c r="H53" s="9"/>
      <c r="I53" s="7">
        <f t="shared" si="1"/>
        <v>1800</v>
      </c>
    </row>
    <row r="54" spans="1:9" x14ac:dyDescent="0.2">
      <c r="A54" s="7" t="s">
        <v>446</v>
      </c>
      <c r="B54" s="7" t="s">
        <v>447</v>
      </c>
      <c r="C54" s="7" t="s">
        <v>350</v>
      </c>
      <c r="D54" s="7" t="s">
        <v>351</v>
      </c>
      <c r="E54" s="7" t="s">
        <v>347</v>
      </c>
      <c r="F54" s="7">
        <v>1</v>
      </c>
      <c r="G54" s="7">
        <v>450</v>
      </c>
      <c r="H54" s="9"/>
      <c r="I54" s="7">
        <f t="shared" si="1"/>
        <v>450</v>
      </c>
    </row>
    <row r="55" spans="1:9" x14ac:dyDescent="0.2">
      <c r="A55" s="7" t="s">
        <v>448</v>
      </c>
      <c r="B55" s="7" t="s">
        <v>449</v>
      </c>
      <c r="C55" s="7" t="s">
        <v>354</v>
      </c>
      <c r="D55" s="7" t="s">
        <v>355</v>
      </c>
      <c r="E55" s="7" t="s">
        <v>352</v>
      </c>
      <c r="F55" s="7">
        <v>1</v>
      </c>
      <c r="G55" s="7">
        <v>1800000</v>
      </c>
      <c r="H55" s="9"/>
      <c r="I55" s="7">
        <f t="shared" si="1"/>
        <v>1800000</v>
      </c>
    </row>
    <row r="56" spans="1:9" x14ac:dyDescent="0.2">
      <c r="A56" s="7" t="s">
        <v>450</v>
      </c>
      <c r="B56" s="7" t="s">
        <v>451</v>
      </c>
      <c r="C56" s="7" t="s">
        <v>359</v>
      </c>
      <c r="D56" s="12" t="s">
        <v>581</v>
      </c>
      <c r="E56" s="7" t="s">
        <v>356</v>
      </c>
      <c r="F56" s="7">
        <v>1</v>
      </c>
      <c r="G56" s="7">
        <v>2200000</v>
      </c>
      <c r="H56" s="9"/>
      <c r="I56" s="7">
        <f t="shared" si="1"/>
        <v>2200000</v>
      </c>
    </row>
    <row r="57" spans="1:9" x14ac:dyDescent="0.2">
      <c r="A57" s="7" t="s">
        <v>452</v>
      </c>
      <c r="B57" s="7" t="s">
        <v>451</v>
      </c>
      <c r="C57" s="7" t="s">
        <v>362</v>
      </c>
      <c r="D57" s="7" t="s">
        <v>351</v>
      </c>
      <c r="E57" s="7" t="s">
        <v>360</v>
      </c>
      <c r="F57" s="7">
        <v>2</v>
      </c>
      <c r="G57" s="7">
        <v>6500000</v>
      </c>
      <c r="H57" s="7" t="s">
        <v>364</v>
      </c>
      <c r="I57" s="7">
        <f t="shared" si="1"/>
        <v>13000000</v>
      </c>
    </row>
    <row r="58" spans="1:9" x14ac:dyDescent="0.2">
      <c r="A58" s="7" t="s">
        <v>453</v>
      </c>
      <c r="B58" s="7" t="s">
        <v>454</v>
      </c>
      <c r="C58" s="7" t="s">
        <v>345</v>
      </c>
      <c r="D58" s="7" t="s">
        <v>346</v>
      </c>
      <c r="E58" s="7" t="s">
        <v>363</v>
      </c>
      <c r="F58" s="7">
        <v>1</v>
      </c>
      <c r="G58" s="7">
        <v>2500000</v>
      </c>
      <c r="H58" s="9"/>
      <c r="I58" s="7">
        <f t="shared" si="1"/>
        <v>2500000</v>
      </c>
    </row>
    <row r="59" spans="1:9" x14ac:dyDescent="0.2">
      <c r="A59" s="7" t="s">
        <v>455</v>
      </c>
      <c r="B59" s="7" t="s">
        <v>456</v>
      </c>
      <c r="C59" s="7" t="s">
        <v>350</v>
      </c>
      <c r="D59" s="7" t="s">
        <v>351</v>
      </c>
      <c r="E59" s="7" t="s">
        <v>457</v>
      </c>
      <c r="F59" s="7">
        <v>1</v>
      </c>
      <c r="G59" s="7">
        <v>7500000</v>
      </c>
      <c r="H59" s="9"/>
      <c r="I59" s="7">
        <f t="shared" si="1"/>
        <v>7500000</v>
      </c>
    </row>
    <row r="60" spans="1:9" x14ac:dyDescent="0.2">
      <c r="A60" s="7" t="s">
        <v>458</v>
      </c>
      <c r="B60" s="7" t="s">
        <v>459</v>
      </c>
      <c r="C60" s="7" t="s">
        <v>354</v>
      </c>
      <c r="D60" s="7" t="s">
        <v>355</v>
      </c>
      <c r="E60" s="7" t="s">
        <v>410</v>
      </c>
      <c r="F60" s="7">
        <v>1</v>
      </c>
      <c r="G60" s="7">
        <v>2100000</v>
      </c>
      <c r="H60" s="9"/>
      <c r="I60" s="7">
        <f t="shared" si="1"/>
        <v>2100000</v>
      </c>
    </row>
    <row r="61" spans="1:9" x14ac:dyDescent="0.2">
      <c r="A61" s="7" t="s">
        <v>460</v>
      </c>
      <c r="B61" s="7" t="s">
        <v>461</v>
      </c>
      <c r="C61" s="7" t="s">
        <v>359</v>
      </c>
      <c r="D61" s="12" t="s">
        <v>581</v>
      </c>
      <c r="E61" s="7" t="s">
        <v>412</v>
      </c>
      <c r="F61" s="7">
        <v>2</v>
      </c>
      <c r="G61" s="7">
        <v>450</v>
      </c>
      <c r="H61" s="9"/>
      <c r="I61" s="7">
        <f t="shared" si="1"/>
        <v>900</v>
      </c>
    </row>
    <row r="62" spans="1:9" x14ac:dyDescent="0.2">
      <c r="A62" s="7" t="s">
        <v>462</v>
      </c>
      <c r="B62" s="7" t="s">
        <v>463</v>
      </c>
      <c r="C62" s="7" t="s">
        <v>362</v>
      </c>
      <c r="D62" s="7" t="s">
        <v>351</v>
      </c>
      <c r="E62" s="7" t="s">
        <v>347</v>
      </c>
      <c r="F62" s="7">
        <v>1</v>
      </c>
      <c r="G62" s="7">
        <v>25000000</v>
      </c>
      <c r="H62" s="9"/>
      <c r="I62" s="7">
        <f t="shared" si="1"/>
        <v>25000000</v>
      </c>
    </row>
    <row r="63" spans="1:9" x14ac:dyDescent="0.2">
      <c r="A63" s="7" t="s">
        <v>464</v>
      </c>
      <c r="B63" s="8">
        <v>44986</v>
      </c>
      <c r="C63" s="7" t="s">
        <v>345</v>
      </c>
      <c r="D63" s="7" t="s">
        <v>401</v>
      </c>
      <c r="E63" s="7" t="s">
        <v>352</v>
      </c>
      <c r="F63" s="7">
        <v>2</v>
      </c>
      <c r="G63" s="7">
        <v>1800000</v>
      </c>
      <c r="H63" s="9"/>
      <c r="I63" s="7">
        <f t="shared" si="1"/>
        <v>3600000</v>
      </c>
    </row>
    <row r="64" spans="1:9" x14ac:dyDescent="0.2">
      <c r="A64" s="7" t="s">
        <v>465</v>
      </c>
      <c r="B64" s="8">
        <v>44987</v>
      </c>
      <c r="C64" s="7" t="s">
        <v>350</v>
      </c>
      <c r="D64" s="7" t="s">
        <v>351</v>
      </c>
      <c r="E64" s="7" t="s">
        <v>356</v>
      </c>
      <c r="F64" s="7">
        <v>1</v>
      </c>
      <c r="G64" s="7">
        <v>2200000</v>
      </c>
      <c r="H64" s="9"/>
      <c r="I64" s="7">
        <f t="shared" si="1"/>
        <v>2200000</v>
      </c>
    </row>
    <row r="65" spans="1:9" x14ac:dyDescent="0.2">
      <c r="A65" s="7" t="s">
        <v>466</v>
      </c>
      <c r="B65" s="8">
        <v>44987</v>
      </c>
      <c r="C65" s="7" t="s">
        <v>354</v>
      </c>
      <c r="D65" s="7" t="s">
        <v>355</v>
      </c>
      <c r="E65" s="7" t="s">
        <v>360</v>
      </c>
      <c r="F65" s="7">
        <v>1</v>
      </c>
      <c r="G65" s="7">
        <v>6500000</v>
      </c>
      <c r="H65" s="9"/>
      <c r="I65" s="7">
        <f t="shared" si="1"/>
        <v>6500000</v>
      </c>
    </row>
    <row r="66" spans="1:9" x14ac:dyDescent="0.2">
      <c r="A66" s="7" t="s">
        <v>467</v>
      </c>
      <c r="B66" s="8">
        <v>44988</v>
      </c>
      <c r="C66" s="7" t="s">
        <v>359</v>
      </c>
      <c r="D66" s="12" t="s">
        <v>581</v>
      </c>
      <c r="E66" s="7" t="s">
        <v>363</v>
      </c>
      <c r="F66" s="7">
        <v>3</v>
      </c>
      <c r="G66" s="7">
        <v>2500000</v>
      </c>
      <c r="H66" s="9"/>
      <c r="I66" s="7">
        <f t="shared" ref="I66:I97" si="2">F66*G66</f>
        <v>7500000</v>
      </c>
    </row>
    <row r="67" spans="1:9" x14ac:dyDescent="0.2">
      <c r="A67" s="7" t="s">
        <v>468</v>
      </c>
      <c r="B67" s="8">
        <v>44989</v>
      </c>
      <c r="C67" s="7" t="s">
        <v>362</v>
      </c>
      <c r="D67" s="7" t="s">
        <v>351</v>
      </c>
      <c r="E67" s="7" t="s">
        <v>366</v>
      </c>
      <c r="F67" s="7">
        <v>1</v>
      </c>
      <c r="G67" s="7">
        <v>7500000</v>
      </c>
      <c r="H67" s="9"/>
      <c r="I67" s="7">
        <f t="shared" si="2"/>
        <v>7500000</v>
      </c>
    </row>
    <row r="68" spans="1:9" x14ac:dyDescent="0.2">
      <c r="A68" s="7" t="s">
        <v>469</v>
      </c>
      <c r="B68" s="8">
        <v>44990</v>
      </c>
      <c r="C68" s="7" t="s">
        <v>345</v>
      </c>
      <c r="D68" s="7" t="s">
        <v>346</v>
      </c>
      <c r="E68" s="7" t="s">
        <v>410</v>
      </c>
      <c r="F68" s="7">
        <v>1</v>
      </c>
      <c r="G68" s="7">
        <v>2100000</v>
      </c>
      <c r="H68" s="9"/>
      <c r="I68" s="7">
        <f t="shared" si="2"/>
        <v>2100000</v>
      </c>
    </row>
    <row r="69" spans="1:9" x14ac:dyDescent="0.2">
      <c r="A69" s="7" t="s">
        <v>470</v>
      </c>
      <c r="B69" s="8">
        <v>44990</v>
      </c>
      <c r="C69" s="7" t="s">
        <v>350</v>
      </c>
      <c r="D69" s="7" t="s">
        <v>351</v>
      </c>
      <c r="E69" s="7" t="s">
        <v>412</v>
      </c>
      <c r="F69" s="7">
        <v>3</v>
      </c>
      <c r="G69" s="7">
        <v>450</v>
      </c>
      <c r="H69" s="9"/>
      <c r="I69" s="7">
        <f t="shared" si="2"/>
        <v>1350</v>
      </c>
    </row>
    <row r="70" spans="1:9" x14ac:dyDescent="0.2">
      <c r="A70" s="7" t="s">
        <v>471</v>
      </c>
      <c r="B70" s="8">
        <v>44991</v>
      </c>
      <c r="C70" s="7" t="s">
        <v>354</v>
      </c>
      <c r="D70" s="7" t="s">
        <v>355</v>
      </c>
      <c r="E70" s="7" t="s">
        <v>386</v>
      </c>
      <c r="F70" s="7">
        <v>1</v>
      </c>
      <c r="G70" s="7">
        <v>25000000</v>
      </c>
      <c r="H70" s="7" t="s">
        <v>357</v>
      </c>
      <c r="I70" s="7">
        <f t="shared" si="2"/>
        <v>25000000</v>
      </c>
    </row>
    <row r="71" spans="1:9" x14ac:dyDescent="0.2">
      <c r="A71" s="7" t="s">
        <v>473</v>
      </c>
      <c r="B71" s="8">
        <v>44993</v>
      </c>
      <c r="C71" s="7" t="s">
        <v>362</v>
      </c>
      <c r="D71" s="7" t="s">
        <v>351</v>
      </c>
      <c r="E71" s="7" t="s">
        <v>356</v>
      </c>
      <c r="F71" s="7">
        <v>2</v>
      </c>
      <c r="G71" s="7">
        <v>2200000</v>
      </c>
      <c r="H71" s="9"/>
      <c r="I71" s="7">
        <f t="shared" si="2"/>
        <v>4400000</v>
      </c>
    </row>
    <row r="72" spans="1:9" x14ac:dyDescent="0.2">
      <c r="A72" s="7" t="s">
        <v>474</v>
      </c>
      <c r="B72" s="8">
        <v>44993</v>
      </c>
      <c r="C72" s="7" t="s">
        <v>345</v>
      </c>
      <c r="D72" s="7" t="s">
        <v>346</v>
      </c>
      <c r="E72" s="7" t="s">
        <v>360</v>
      </c>
      <c r="F72" s="7">
        <v>1</v>
      </c>
      <c r="G72" s="7">
        <v>6500000</v>
      </c>
      <c r="H72" s="9"/>
      <c r="I72" s="7">
        <f t="shared" si="2"/>
        <v>6500000</v>
      </c>
    </row>
    <row r="73" spans="1:9" x14ac:dyDescent="0.2">
      <c r="A73" s="7" t="s">
        <v>475</v>
      </c>
      <c r="B73" s="8">
        <v>44994</v>
      </c>
      <c r="C73" s="7" t="s">
        <v>350</v>
      </c>
      <c r="D73" s="7" t="s">
        <v>351</v>
      </c>
      <c r="E73" s="7" t="s">
        <v>363</v>
      </c>
      <c r="F73" s="7">
        <v>1</v>
      </c>
      <c r="G73" s="7">
        <v>2500000</v>
      </c>
      <c r="H73" s="7" t="s">
        <v>378</v>
      </c>
      <c r="I73" s="7">
        <f t="shared" si="2"/>
        <v>2500000</v>
      </c>
    </row>
    <row r="74" spans="1:9" x14ac:dyDescent="0.2">
      <c r="A74" s="7" t="s">
        <v>476</v>
      </c>
      <c r="B74" s="8">
        <v>44995</v>
      </c>
      <c r="C74" s="7" t="s">
        <v>354</v>
      </c>
      <c r="D74" s="7" t="s">
        <v>355</v>
      </c>
      <c r="E74" s="7" t="s">
        <v>366</v>
      </c>
      <c r="F74" s="7">
        <v>1</v>
      </c>
      <c r="G74" s="7">
        <v>7500000</v>
      </c>
      <c r="H74" s="9"/>
      <c r="I74" s="7">
        <f t="shared" si="2"/>
        <v>7500000</v>
      </c>
    </row>
    <row r="75" spans="1:9" x14ac:dyDescent="0.2">
      <c r="A75" s="7" t="s">
        <v>477</v>
      </c>
      <c r="B75" s="8">
        <v>44996</v>
      </c>
      <c r="C75" s="7" t="s">
        <v>359</v>
      </c>
      <c r="D75" s="12" t="s">
        <v>581</v>
      </c>
      <c r="E75" s="7" t="s">
        <v>410</v>
      </c>
      <c r="F75" s="7">
        <v>2</v>
      </c>
      <c r="G75" s="7">
        <v>2100000</v>
      </c>
      <c r="H75" s="9"/>
      <c r="I75" s="7">
        <f t="shared" si="2"/>
        <v>4200000</v>
      </c>
    </row>
    <row r="76" spans="1:9" x14ac:dyDescent="0.2">
      <c r="A76" s="7" t="s">
        <v>478</v>
      </c>
      <c r="B76" s="8">
        <v>44996</v>
      </c>
      <c r="C76" s="7" t="s">
        <v>362</v>
      </c>
      <c r="D76" s="7" t="s">
        <v>351</v>
      </c>
      <c r="E76" s="7" t="s">
        <v>386</v>
      </c>
      <c r="F76" s="7">
        <v>1</v>
      </c>
      <c r="G76" s="7">
        <v>7500000</v>
      </c>
      <c r="H76" s="9"/>
      <c r="I76" s="7">
        <f t="shared" si="2"/>
        <v>7500000</v>
      </c>
    </row>
    <row r="77" spans="1:9" x14ac:dyDescent="0.2">
      <c r="A77" s="7" t="s">
        <v>479</v>
      </c>
      <c r="B77" s="8">
        <v>44997</v>
      </c>
      <c r="C77" s="7" t="s">
        <v>345</v>
      </c>
      <c r="D77" s="7" t="s">
        <v>346</v>
      </c>
      <c r="E77" s="7" t="s">
        <v>347</v>
      </c>
      <c r="F77" s="7">
        <v>1</v>
      </c>
      <c r="G77" s="7">
        <v>25000000</v>
      </c>
      <c r="H77" s="9"/>
      <c r="I77" s="7">
        <f t="shared" si="2"/>
        <v>25000000</v>
      </c>
    </row>
    <row r="78" spans="1:9" x14ac:dyDescent="0.2">
      <c r="A78" s="7" t="s">
        <v>480</v>
      </c>
      <c r="B78" s="7" t="s">
        <v>481</v>
      </c>
      <c r="C78" s="7" t="s">
        <v>350</v>
      </c>
      <c r="D78" s="7" t="s">
        <v>351</v>
      </c>
      <c r="E78" s="7" t="s">
        <v>376</v>
      </c>
      <c r="F78" s="7">
        <v>1</v>
      </c>
      <c r="G78" s="7">
        <v>1800000</v>
      </c>
      <c r="H78" s="9"/>
      <c r="I78" s="7">
        <f t="shared" si="2"/>
        <v>1800000</v>
      </c>
    </row>
    <row r="79" spans="1:9" x14ac:dyDescent="0.2">
      <c r="A79" s="7" t="s">
        <v>482</v>
      </c>
      <c r="B79" s="7" t="s">
        <v>483</v>
      </c>
      <c r="C79" s="7" t="s">
        <v>354</v>
      </c>
      <c r="D79" s="7" t="s">
        <v>355</v>
      </c>
      <c r="E79" s="7" t="s">
        <v>356</v>
      </c>
      <c r="F79" s="7">
        <v>1</v>
      </c>
      <c r="G79" s="7">
        <v>2200000</v>
      </c>
      <c r="H79" s="9"/>
      <c r="I79" s="7">
        <f t="shared" si="2"/>
        <v>2200000</v>
      </c>
    </row>
    <row r="80" spans="1:9" x14ac:dyDescent="0.2">
      <c r="A80" s="7" t="s">
        <v>484</v>
      </c>
      <c r="B80" s="7" t="s">
        <v>485</v>
      </c>
      <c r="C80" s="7" t="s">
        <v>359</v>
      </c>
      <c r="D80" s="12" t="s">
        <v>581</v>
      </c>
      <c r="E80" s="7" t="s">
        <v>360</v>
      </c>
      <c r="F80" s="7">
        <v>1</v>
      </c>
      <c r="G80" s="7">
        <v>6500000</v>
      </c>
      <c r="H80" s="9"/>
      <c r="I80" s="7">
        <f t="shared" si="2"/>
        <v>6500000</v>
      </c>
    </row>
    <row r="81" spans="1:9" x14ac:dyDescent="0.2">
      <c r="A81" s="7" t="s">
        <v>486</v>
      </c>
      <c r="B81" s="7" t="s">
        <v>485</v>
      </c>
      <c r="C81" s="7" t="s">
        <v>362</v>
      </c>
      <c r="D81" s="7" t="s">
        <v>351</v>
      </c>
      <c r="E81" s="7" t="s">
        <v>363</v>
      </c>
      <c r="F81" s="7">
        <v>5</v>
      </c>
      <c r="G81" s="7">
        <v>2500000</v>
      </c>
      <c r="H81" s="7" t="s">
        <v>364</v>
      </c>
      <c r="I81" s="7">
        <f t="shared" si="2"/>
        <v>12500000</v>
      </c>
    </row>
    <row r="82" spans="1:9" x14ac:dyDescent="0.2">
      <c r="A82" s="7" t="s">
        <v>486</v>
      </c>
      <c r="B82" s="7" t="s">
        <v>485</v>
      </c>
      <c r="C82" s="7" t="s">
        <v>362</v>
      </c>
      <c r="D82" s="7" t="s">
        <v>351</v>
      </c>
      <c r="E82" s="7" t="s">
        <v>363</v>
      </c>
      <c r="F82" s="7">
        <v>5</v>
      </c>
      <c r="G82" s="7">
        <v>2500000</v>
      </c>
      <c r="H82" s="7" t="s">
        <v>364</v>
      </c>
      <c r="I82" s="7">
        <f t="shared" si="2"/>
        <v>12500000</v>
      </c>
    </row>
    <row r="83" spans="1:9" x14ac:dyDescent="0.2">
      <c r="A83" s="7" t="s">
        <v>487</v>
      </c>
      <c r="B83" s="7" t="s">
        <v>488</v>
      </c>
      <c r="C83" s="7" t="s">
        <v>345</v>
      </c>
      <c r="D83" s="7" t="s">
        <v>346</v>
      </c>
      <c r="E83" s="7" t="s">
        <v>366</v>
      </c>
      <c r="F83" s="7">
        <v>1</v>
      </c>
      <c r="G83" s="7">
        <v>7500000</v>
      </c>
      <c r="H83" s="9"/>
      <c r="I83" s="7">
        <f t="shared" si="2"/>
        <v>7500000</v>
      </c>
    </row>
    <row r="84" spans="1:9" x14ac:dyDescent="0.2">
      <c r="A84" s="7" t="s">
        <v>489</v>
      </c>
      <c r="B84" s="7" t="s">
        <v>490</v>
      </c>
      <c r="C84" s="7" t="s">
        <v>350</v>
      </c>
      <c r="D84" s="7" t="s">
        <v>351</v>
      </c>
      <c r="E84" s="7" t="s">
        <v>410</v>
      </c>
      <c r="F84" s="7">
        <v>1</v>
      </c>
      <c r="G84" s="7">
        <v>2100000</v>
      </c>
      <c r="H84" s="9"/>
      <c r="I84" s="7">
        <f t="shared" si="2"/>
        <v>2100000</v>
      </c>
    </row>
    <row r="85" spans="1:9" x14ac:dyDescent="0.2">
      <c r="A85" s="7" t="s">
        <v>491</v>
      </c>
      <c r="B85" s="7" t="s">
        <v>492</v>
      </c>
      <c r="C85" s="7" t="s">
        <v>354</v>
      </c>
      <c r="D85" s="7" t="s">
        <v>355</v>
      </c>
      <c r="E85" s="7" t="s">
        <v>412</v>
      </c>
      <c r="F85" s="7">
        <v>2</v>
      </c>
      <c r="G85" s="7">
        <v>450</v>
      </c>
      <c r="H85" s="9"/>
      <c r="I85" s="7">
        <f t="shared" si="2"/>
        <v>900</v>
      </c>
    </row>
    <row r="86" spans="1:9" x14ac:dyDescent="0.2">
      <c r="A86" s="7" t="s">
        <v>493</v>
      </c>
      <c r="B86" s="7" t="s">
        <v>492</v>
      </c>
      <c r="C86" s="7" t="s">
        <v>359</v>
      </c>
      <c r="D86" s="12" t="s">
        <v>581</v>
      </c>
      <c r="E86" s="7" t="s">
        <v>347</v>
      </c>
      <c r="F86" s="7">
        <v>1</v>
      </c>
      <c r="G86" s="7">
        <v>25000000</v>
      </c>
      <c r="H86" s="9"/>
      <c r="I86" s="7">
        <f t="shared" si="2"/>
        <v>25000000</v>
      </c>
    </row>
    <row r="87" spans="1:9" x14ac:dyDescent="0.2">
      <c r="A87" s="7" t="s">
        <v>494</v>
      </c>
      <c r="B87" s="7" t="s">
        <v>495</v>
      </c>
      <c r="C87" s="7" t="s">
        <v>362</v>
      </c>
      <c r="D87" s="7" t="s">
        <v>351</v>
      </c>
      <c r="E87" s="7" t="s">
        <v>352</v>
      </c>
      <c r="F87" s="7">
        <v>2</v>
      </c>
      <c r="G87" s="7">
        <v>1800000</v>
      </c>
      <c r="H87" s="9"/>
      <c r="I87" s="7">
        <f t="shared" si="2"/>
        <v>3600000</v>
      </c>
    </row>
    <row r="88" spans="1:9" x14ac:dyDescent="0.2">
      <c r="A88" s="7" t="s">
        <v>496</v>
      </c>
      <c r="B88" s="7" t="s">
        <v>497</v>
      </c>
      <c r="C88" s="7" t="s">
        <v>345</v>
      </c>
      <c r="D88" s="7" t="s">
        <v>346</v>
      </c>
      <c r="E88" s="7" t="s">
        <v>356</v>
      </c>
      <c r="F88" s="7">
        <v>1</v>
      </c>
      <c r="G88" s="7">
        <v>2200000</v>
      </c>
      <c r="H88" s="9"/>
      <c r="I88" s="7">
        <f t="shared" si="2"/>
        <v>2200000</v>
      </c>
    </row>
    <row r="89" spans="1:9" x14ac:dyDescent="0.2">
      <c r="A89" s="7" t="s">
        <v>498</v>
      </c>
      <c r="B89" s="7" t="s">
        <v>499</v>
      </c>
      <c r="C89" s="7" t="s">
        <v>350</v>
      </c>
      <c r="D89" s="7" t="s">
        <v>351</v>
      </c>
      <c r="E89" s="7" t="s">
        <v>360</v>
      </c>
      <c r="F89" s="7">
        <v>1</v>
      </c>
      <c r="G89" s="7">
        <v>6500000</v>
      </c>
      <c r="H89" s="9"/>
      <c r="I89" s="7">
        <f t="shared" si="2"/>
        <v>6500000</v>
      </c>
    </row>
    <row r="90" spans="1:9" x14ac:dyDescent="0.2">
      <c r="A90" s="7" t="s">
        <v>500</v>
      </c>
      <c r="B90" s="7" t="s">
        <v>501</v>
      </c>
      <c r="C90" s="7" t="s">
        <v>354</v>
      </c>
      <c r="D90" s="7" t="s">
        <v>355</v>
      </c>
      <c r="E90" s="7" t="s">
        <v>363</v>
      </c>
      <c r="F90" s="7">
        <v>1</v>
      </c>
      <c r="G90" s="7">
        <v>2500000</v>
      </c>
      <c r="H90" s="9"/>
      <c r="I90" s="7">
        <f t="shared" si="2"/>
        <v>2500000</v>
      </c>
    </row>
    <row r="91" spans="1:9" x14ac:dyDescent="0.2">
      <c r="A91" s="7" t="s">
        <v>502</v>
      </c>
      <c r="B91" s="7" t="s">
        <v>503</v>
      </c>
      <c r="C91" s="7" t="s">
        <v>359</v>
      </c>
      <c r="D91" s="12" t="s">
        <v>581</v>
      </c>
      <c r="E91" s="7" t="s">
        <v>457</v>
      </c>
      <c r="F91" s="7">
        <v>1</v>
      </c>
      <c r="G91" s="7">
        <v>7500000</v>
      </c>
      <c r="H91" s="9"/>
      <c r="I91" s="7">
        <f t="shared" si="2"/>
        <v>7500000</v>
      </c>
    </row>
    <row r="92" spans="1:9" x14ac:dyDescent="0.2">
      <c r="A92" s="7" t="s">
        <v>504</v>
      </c>
      <c r="B92" s="7" t="s">
        <v>503</v>
      </c>
      <c r="C92" s="7" t="s">
        <v>362</v>
      </c>
      <c r="D92" s="7" t="s">
        <v>351</v>
      </c>
      <c r="E92" s="7" t="s">
        <v>410</v>
      </c>
      <c r="F92" s="7">
        <v>3</v>
      </c>
      <c r="G92" s="7">
        <v>2100000</v>
      </c>
      <c r="H92" s="9"/>
      <c r="I92" s="7">
        <f t="shared" si="2"/>
        <v>6300000</v>
      </c>
    </row>
    <row r="93" spans="1:9" x14ac:dyDescent="0.2">
      <c r="A93" s="7" t="s">
        <v>505</v>
      </c>
      <c r="B93" s="7" t="s">
        <v>506</v>
      </c>
      <c r="C93" s="7" t="s">
        <v>345</v>
      </c>
      <c r="D93" s="7" t="s">
        <v>346</v>
      </c>
      <c r="E93" s="7" t="s">
        <v>412</v>
      </c>
      <c r="F93" s="7">
        <v>1</v>
      </c>
      <c r="G93" s="7">
        <v>450</v>
      </c>
      <c r="H93" s="9"/>
      <c r="I93" s="7">
        <f t="shared" si="2"/>
        <v>450</v>
      </c>
    </row>
    <row r="94" spans="1:9" x14ac:dyDescent="0.2">
      <c r="A94" s="7" t="s">
        <v>507</v>
      </c>
      <c r="B94" s="7" t="s">
        <v>508</v>
      </c>
      <c r="C94" s="7" t="s">
        <v>350</v>
      </c>
      <c r="D94" s="7" t="s">
        <v>351</v>
      </c>
      <c r="E94" s="7" t="s">
        <v>347</v>
      </c>
      <c r="F94" s="7">
        <v>1</v>
      </c>
      <c r="G94" s="7">
        <v>25000000</v>
      </c>
      <c r="H94" s="9"/>
      <c r="I94" s="7">
        <f t="shared" si="2"/>
        <v>25000000</v>
      </c>
    </row>
    <row r="95" spans="1:9" x14ac:dyDescent="0.2">
      <c r="A95" s="7" t="s">
        <v>509</v>
      </c>
      <c r="B95" s="7" t="s">
        <v>510</v>
      </c>
      <c r="C95" s="7" t="s">
        <v>354</v>
      </c>
      <c r="D95" s="7" t="s">
        <v>355</v>
      </c>
      <c r="E95" s="7" t="s">
        <v>352</v>
      </c>
      <c r="F95" s="7">
        <v>1</v>
      </c>
      <c r="G95" s="7">
        <v>1800000</v>
      </c>
      <c r="H95" s="9"/>
      <c r="I95" s="7">
        <f t="shared" si="2"/>
        <v>1800000</v>
      </c>
    </row>
    <row r="96" spans="1:9" x14ac:dyDescent="0.2">
      <c r="A96" s="7" t="s">
        <v>511</v>
      </c>
      <c r="B96" s="7" t="s">
        <v>512</v>
      </c>
      <c r="C96" s="7" t="s">
        <v>359</v>
      </c>
      <c r="D96" s="12" t="s">
        <v>581</v>
      </c>
      <c r="E96" s="7" t="s">
        <v>356</v>
      </c>
      <c r="F96" s="7">
        <v>2</v>
      </c>
      <c r="G96" s="7">
        <v>2200000</v>
      </c>
      <c r="H96" s="7" t="s">
        <v>372</v>
      </c>
      <c r="I96" s="7">
        <f t="shared" si="2"/>
        <v>4400000</v>
      </c>
    </row>
    <row r="97" spans="1:9" x14ac:dyDescent="0.2">
      <c r="A97" s="7" t="s">
        <v>513</v>
      </c>
      <c r="B97" s="7" t="s">
        <v>514</v>
      </c>
      <c r="C97" s="7" t="s">
        <v>362</v>
      </c>
      <c r="D97" s="7" t="s">
        <v>351</v>
      </c>
      <c r="E97" s="7" t="s">
        <v>360</v>
      </c>
      <c r="F97" s="7">
        <v>1</v>
      </c>
      <c r="G97" s="7">
        <v>6500000</v>
      </c>
      <c r="H97" s="9"/>
      <c r="I97" s="7">
        <f t="shared" si="2"/>
        <v>6500000</v>
      </c>
    </row>
    <row r="98" spans="1:9" x14ac:dyDescent="0.2">
      <c r="A98" s="7" t="s">
        <v>515</v>
      </c>
      <c r="B98" s="7" t="s">
        <v>516</v>
      </c>
      <c r="C98" s="7" t="s">
        <v>345</v>
      </c>
      <c r="D98" s="7" t="s">
        <v>346</v>
      </c>
      <c r="E98" s="7" t="s">
        <v>363</v>
      </c>
      <c r="F98" s="7">
        <v>1</v>
      </c>
      <c r="G98" s="7">
        <v>2500000</v>
      </c>
      <c r="H98" s="9"/>
      <c r="I98" s="7">
        <f t="shared" ref="I98:I127" si="3">F98*G98</f>
        <v>2500000</v>
      </c>
    </row>
    <row r="99" spans="1:9" x14ac:dyDescent="0.2">
      <c r="A99" s="7" t="s">
        <v>517</v>
      </c>
      <c r="B99" s="7" t="s">
        <v>518</v>
      </c>
      <c r="C99" s="7" t="s">
        <v>350</v>
      </c>
      <c r="D99" s="7" t="s">
        <v>351</v>
      </c>
      <c r="E99" s="7" t="s">
        <v>366</v>
      </c>
      <c r="F99" s="7">
        <v>1</v>
      </c>
      <c r="G99" s="7">
        <v>7500000</v>
      </c>
      <c r="H99" s="9"/>
      <c r="I99" s="7">
        <f t="shared" si="3"/>
        <v>7500000</v>
      </c>
    </row>
    <row r="100" spans="1:9" x14ac:dyDescent="0.2">
      <c r="A100" s="7" t="s">
        <v>519</v>
      </c>
      <c r="B100" s="7" t="s">
        <v>520</v>
      </c>
      <c r="C100" s="7" t="s">
        <v>354</v>
      </c>
      <c r="D100" s="7" t="s">
        <v>355</v>
      </c>
      <c r="E100" s="7" t="s">
        <v>410</v>
      </c>
      <c r="F100" s="7">
        <v>1</v>
      </c>
      <c r="G100" s="7">
        <v>2100000</v>
      </c>
      <c r="H100" s="9"/>
      <c r="I100" s="7">
        <f t="shared" si="3"/>
        <v>2100000</v>
      </c>
    </row>
    <row r="101" spans="1:9" x14ac:dyDescent="0.2">
      <c r="A101" s="7" t="s">
        <v>521</v>
      </c>
      <c r="B101" s="8">
        <v>44934</v>
      </c>
      <c r="C101" s="7" t="s">
        <v>359</v>
      </c>
      <c r="D101" s="12" t="s">
        <v>581</v>
      </c>
      <c r="E101" s="7" t="s">
        <v>412</v>
      </c>
      <c r="F101" s="7">
        <v>4</v>
      </c>
      <c r="G101" s="7">
        <v>450</v>
      </c>
      <c r="H101" s="9"/>
      <c r="I101" s="7">
        <f t="shared" si="3"/>
        <v>1800</v>
      </c>
    </row>
    <row r="102" spans="1:9" x14ac:dyDescent="0.2">
      <c r="A102" s="7" t="s">
        <v>522</v>
      </c>
      <c r="B102" s="8">
        <v>44965</v>
      </c>
      <c r="C102" s="7" t="s">
        <v>362</v>
      </c>
      <c r="D102" s="7" t="s">
        <v>351</v>
      </c>
      <c r="E102" s="7" t="s">
        <v>347</v>
      </c>
      <c r="F102" s="7">
        <v>1</v>
      </c>
      <c r="G102" s="7">
        <v>25000000</v>
      </c>
      <c r="H102" s="9"/>
      <c r="I102" s="7">
        <f t="shared" si="3"/>
        <v>25000000</v>
      </c>
    </row>
    <row r="103" spans="1:9" x14ac:dyDescent="0.2">
      <c r="A103" s="7" t="s">
        <v>523</v>
      </c>
      <c r="B103" s="8">
        <v>44993</v>
      </c>
      <c r="C103" s="7" t="s">
        <v>345</v>
      </c>
      <c r="D103" s="7" t="s">
        <v>401</v>
      </c>
      <c r="E103" s="7" t="s">
        <v>352</v>
      </c>
      <c r="F103" s="7">
        <v>1</v>
      </c>
      <c r="G103" s="7">
        <v>1800000</v>
      </c>
      <c r="H103" s="9"/>
      <c r="I103" s="7">
        <f t="shared" si="3"/>
        <v>1800000</v>
      </c>
    </row>
    <row r="104" spans="1:9" x14ac:dyDescent="0.2">
      <c r="A104" s="7" t="s">
        <v>524</v>
      </c>
      <c r="B104" s="8">
        <v>45024</v>
      </c>
      <c r="C104" s="7" t="s">
        <v>350</v>
      </c>
      <c r="D104" s="7" t="s">
        <v>351</v>
      </c>
      <c r="E104" s="7" t="s">
        <v>356</v>
      </c>
      <c r="F104" s="7">
        <v>1</v>
      </c>
      <c r="G104" s="7">
        <v>2200000</v>
      </c>
      <c r="H104" s="9"/>
      <c r="I104" s="7">
        <f t="shared" si="3"/>
        <v>2200000</v>
      </c>
    </row>
    <row r="105" spans="1:9" x14ac:dyDescent="0.2">
      <c r="A105" s="7" t="s">
        <v>525</v>
      </c>
      <c r="B105" s="8">
        <v>45025</v>
      </c>
      <c r="C105" s="7" t="s">
        <v>354</v>
      </c>
      <c r="D105" s="7" t="s">
        <v>355</v>
      </c>
      <c r="E105" s="7" t="s">
        <v>417</v>
      </c>
      <c r="F105" s="7">
        <v>2</v>
      </c>
      <c r="G105" s="7">
        <v>6500000</v>
      </c>
      <c r="H105" s="7" t="s">
        <v>364</v>
      </c>
      <c r="I105" s="7">
        <f t="shared" si="3"/>
        <v>13000000</v>
      </c>
    </row>
    <row r="106" spans="1:9" x14ac:dyDescent="0.2">
      <c r="A106" s="7" t="s">
        <v>526</v>
      </c>
      <c r="B106" s="8">
        <v>45026</v>
      </c>
      <c r="C106" s="7" t="s">
        <v>359</v>
      </c>
      <c r="D106" s="12" t="s">
        <v>581</v>
      </c>
      <c r="E106" s="7" t="s">
        <v>363</v>
      </c>
      <c r="F106" s="7">
        <v>2</v>
      </c>
      <c r="G106" s="7">
        <v>2500000</v>
      </c>
      <c r="H106" s="9"/>
      <c r="I106" s="7">
        <f t="shared" si="3"/>
        <v>5000000</v>
      </c>
    </row>
    <row r="107" spans="1:9" x14ac:dyDescent="0.2">
      <c r="A107" s="7" t="s">
        <v>527</v>
      </c>
      <c r="B107" s="8">
        <v>45027</v>
      </c>
      <c r="C107" s="7" t="s">
        <v>362</v>
      </c>
      <c r="D107" s="7" t="s">
        <v>351</v>
      </c>
      <c r="E107" s="7" t="s">
        <v>366</v>
      </c>
      <c r="F107" s="7">
        <v>1</v>
      </c>
      <c r="G107" s="7">
        <v>7500000</v>
      </c>
      <c r="H107" s="9"/>
      <c r="I107" s="7">
        <f t="shared" si="3"/>
        <v>7500000</v>
      </c>
    </row>
    <row r="108" spans="1:9" x14ac:dyDescent="0.2">
      <c r="A108" s="7" t="s">
        <v>528</v>
      </c>
      <c r="B108" s="8">
        <v>45027</v>
      </c>
      <c r="C108" s="7" t="s">
        <v>345</v>
      </c>
      <c r="D108" s="7" t="s">
        <v>346</v>
      </c>
      <c r="E108" s="7" t="s">
        <v>410</v>
      </c>
      <c r="F108" s="7">
        <v>1</v>
      </c>
      <c r="G108" s="7">
        <v>2100000</v>
      </c>
      <c r="H108" s="9"/>
      <c r="I108" s="7">
        <f t="shared" si="3"/>
        <v>2100000</v>
      </c>
    </row>
    <row r="109" spans="1:9" x14ac:dyDescent="0.2">
      <c r="A109" s="7" t="s">
        <v>529</v>
      </c>
      <c r="B109" s="8">
        <v>45028</v>
      </c>
      <c r="C109" s="7" t="s">
        <v>350</v>
      </c>
      <c r="D109" s="7" t="s">
        <v>351</v>
      </c>
      <c r="E109" s="7" t="s">
        <v>417</v>
      </c>
      <c r="F109" s="7">
        <v>1</v>
      </c>
      <c r="G109" s="7">
        <v>25000000</v>
      </c>
      <c r="H109" s="9"/>
      <c r="I109" s="7">
        <f t="shared" si="3"/>
        <v>25000000</v>
      </c>
    </row>
    <row r="110" spans="1:9" x14ac:dyDescent="0.2">
      <c r="A110" s="7" t="s">
        <v>530</v>
      </c>
      <c r="B110" s="7" t="s">
        <v>531</v>
      </c>
      <c r="C110" s="7" t="s">
        <v>354</v>
      </c>
      <c r="D110" s="7" t="s">
        <v>355</v>
      </c>
      <c r="E110" s="7" t="s">
        <v>347</v>
      </c>
      <c r="F110" s="7">
        <v>1</v>
      </c>
      <c r="G110" s="7">
        <v>25000000</v>
      </c>
      <c r="H110" s="9"/>
      <c r="I110" s="7">
        <f t="shared" si="3"/>
        <v>25000000</v>
      </c>
    </row>
    <row r="111" spans="1:9" x14ac:dyDescent="0.2">
      <c r="A111" s="7" t="s">
        <v>534</v>
      </c>
      <c r="B111" s="7" t="s">
        <v>535</v>
      </c>
      <c r="C111" s="7" t="s">
        <v>362</v>
      </c>
      <c r="D111" s="7" t="s">
        <v>351</v>
      </c>
      <c r="E111" s="7" t="s">
        <v>536</v>
      </c>
      <c r="F111" s="7">
        <v>1</v>
      </c>
      <c r="G111" s="7">
        <v>2200000</v>
      </c>
      <c r="H111" s="9"/>
      <c r="I111" s="7">
        <f t="shared" si="3"/>
        <v>2200000</v>
      </c>
    </row>
    <row r="112" spans="1:9" x14ac:dyDescent="0.2">
      <c r="A112" s="7" t="s">
        <v>537</v>
      </c>
      <c r="B112" s="7" t="s">
        <v>535</v>
      </c>
      <c r="C112" s="7" t="s">
        <v>345</v>
      </c>
      <c r="D112" s="7" t="s">
        <v>346</v>
      </c>
      <c r="E112" s="7" t="s">
        <v>360</v>
      </c>
      <c r="F112" s="7">
        <v>1</v>
      </c>
      <c r="G112" s="7">
        <v>6500000</v>
      </c>
      <c r="H112" s="9"/>
      <c r="I112" s="7">
        <f t="shared" si="3"/>
        <v>6500000</v>
      </c>
    </row>
    <row r="113" spans="1:9" x14ac:dyDescent="0.2">
      <c r="A113" s="7" t="s">
        <v>538</v>
      </c>
      <c r="B113" s="7" t="s">
        <v>539</v>
      </c>
      <c r="C113" s="7" t="s">
        <v>350</v>
      </c>
      <c r="D113" s="7" t="s">
        <v>351</v>
      </c>
      <c r="E113" s="7" t="s">
        <v>363</v>
      </c>
      <c r="F113" s="7">
        <v>1</v>
      </c>
      <c r="G113" s="7">
        <v>2500000</v>
      </c>
      <c r="H113" s="9"/>
      <c r="I113" s="7">
        <f t="shared" si="3"/>
        <v>2500000</v>
      </c>
    </row>
    <row r="114" spans="1:9" x14ac:dyDescent="0.2">
      <c r="A114" s="7" t="s">
        <v>540</v>
      </c>
      <c r="B114" s="7" t="s">
        <v>541</v>
      </c>
      <c r="C114" s="7" t="s">
        <v>354</v>
      </c>
      <c r="D114" s="7" t="s">
        <v>355</v>
      </c>
      <c r="E114" s="7" t="s">
        <v>366</v>
      </c>
      <c r="F114" s="7">
        <v>1</v>
      </c>
      <c r="G114" s="7">
        <v>7500000</v>
      </c>
      <c r="H114" s="9"/>
      <c r="I114" s="7">
        <f t="shared" si="3"/>
        <v>7500000</v>
      </c>
    </row>
    <row r="115" spans="1:9" x14ac:dyDescent="0.2">
      <c r="A115" s="7" t="s">
        <v>542</v>
      </c>
      <c r="B115" s="7" t="s">
        <v>543</v>
      </c>
      <c r="C115" s="7" t="s">
        <v>359</v>
      </c>
      <c r="D115" s="12" t="s">
        <v>581</v>
      </c>
      <c r="E115" s="7" t="s">
        <v>410</v>
      </c>
      <c r="F115" s="7">
        <v>2</v>
      </c>
      <c r="G115" s="7">
        <v>2100000</v>
      </c>
      <c r="H115" s="9"/>
      <c r="I115" s="7">
        <f t="shared" si="3"/>
        <v>4200000</v>
      </c>
    </row>
    <row r="116" spans="1:9" x14ac:dyDescent="0.2">
      <c r="A116" s="7" t="s">
        <v>545</v>
      </c>
      <c r="B116" s="7" t="s">
        <v>546</v>
      </c>
      <c r="C116" s="7" t="s">
        <v>345</v>
      </c>
      <c r="D116" s="7" t="s">
        <v>346</v>
      </c>
      <c r="E116" s="7" t="s">
        <v>347</v>
      </c>
      <c r="F116" s="7">
        <v>1</v>
      </c>
      <c r="G116" s="7">
        <v>25000000</v>
      </c>
      <c r="H116" s="9"/>
      <c r="I116" s="7">
        <f t="shared" si="3"/>
        <v>25000000</v>
      </c>
    </row>
    <row r="117" spans="1:9" x14ac:dyDescent="0.2">
      <c r="A117" s="7" t="s">
        <v>547</v>
      </c>
      <c r="B117" s="7" t="s">
        <v>548</v>
      </c>
      <c r="C117" s="7" t="s">
        <v>350</v>
      </c>
      <c r="D117" s="7" t="s">
        <v>351</v>
      </c>
      <c r="E117" s="7" t="s">
        <v>352</v>
      </c>
      <c r="F117" s="7">
        <v>1</v>
      </c>
      <c r="G117" s="7">
        <v>1800000</v>
      </c>
      <c r="H117" s="9"/>
      <c r="I117" s="7">
        <f t="shared" si="3"/>
        <v>1800000</v>
      </c>
    </row>
    <row r="118" spans="1:9" x14ac:dyDescent="0.2">
      <c r="A118" s="7" t="s">
        <v>549</v>
      </c>
      <c r="B118" s="7" t="s">
        <v>550</v>
      </c>
      <c r="C118" s="7" t="s">
        <v>354</v>
      </c>
      <c r="D118" s="7" t="s">
        <v>355</v>
      </c>
      <c r="E118" s="7" t="s">
        <v>356</v>
      </c>
      <c r="F118" s="7">
        <v>1</v>
      </c>
      <c r="G118" s="7">
        <v>2200000</v>
      </c>
      <c r="H118" s="9"/>
      <c r="I118" s="7">
        <f t="shared" si="3"/>
        <v>2200000</v>
      </c>
    </row>
    <row r="119" spans="1:9" x14ac:dyDescent="0.2">
      <c r="A119" s="7" t="s">
        <v>551</v>
      </c>
      <c r="B119" s="7" t="s">
        <v>552</v>
      </c>
      <c r="C119" s="7" t="s">
        <v>359</v>
      </c>
      <c r="D119" s="12" t="s">
        <v>581</v>
      </c>
      <c r="E119" s="7" t="s">
        <v>360</v>
      </c>
      <c r="F119" s="7">
        <v>1</v>
      </c>
      <c r="G119" s="7">
        <v>6500000</v>
      </c>
      <c r="H119" s="9"/>
      <c r="I119" s="7">
        <f t="shared" si="3"/>
        <v>6500000</v>
      </c>
    </row>
    <row r="120" spans="1:9" x14ac:dyDescent="0.2">
      <c r="A120" s="7" t="s">
        <v>555</v>
      </c>
      <c r="B120" s="7" t="s">
        <v>554</v>
      </c>
      <c r="C120" s="7" t="s">
        <v>345</v>
      </c>
      <c r="D120" s="7" t="s">
        <v>346</v>
      </c>
      <c r="E120" s="7" t="s">
        <v>366</v>
      </c>
      <c r="F120" s="7">
        <v>1</v>
      </c>
      <c r="G120" s="7">
        <v>7500000</v>
      </c>
      <c r="H120" s="9"/>
      <c r="I120" s="7">
        <f t="shared" si="3"/>
        <v>7500000</v>
      </c>
    </row>
    <row r="121" spans="1:9" x14ac:dyDescent="0.2">
      <c r="A121" s="7" t="s">
        <v>556</v>
      </c>
      <c r="B121" s="7" t="s">
        <v>557</v>
      </c>
      <c r="C121" s="7" t="s">
        <v>350</v>
      </c>
      <c r="D121" s="7" t="s">
        <v>351</v>
      </c>
      <c r="E121" s="7" t="s">
        <v>410</v>
      </c>
      <c r="F121" s="7">
        <v>1</v>
      </c>
      <c r="G121" s="7">
        <v>2100000</v>
      </c>
      <c r="H121" s="9"/>
      <c r="I121" s="7">
        <f t="shared" si="3"/>
        <v>2100000</v>
      </c>
    </row>
    <row r="122" spans="1:9" x14ac:dyDescent="0.2">
      <c r="A122" s="7" t="s">
        <v>558</v>
      </c>
      <c r="B122" s="7" t="s">
        <v>559</v>
      </c>
      <c r="C122" s="7" t="s">
        <v>354</v>
      </c>
      <c r="D122" s="7" t="s">
        <v>355</v>
      </c>
      <c r="E122" s="7" t="s">
        <v>422</v>
      </c>
      <c r="F122" s="7">
        <v>5</v>
      </c>
      <c r="G122" s="7">
        <v>450</v>
      </c>
      <c r="H122" s="7" t="s">
        <v>348</v>
      </c>
      <c r="I122" s="7">
        <f t="shared" si="3"/>
        <v>2250</v>
      </c>
    </row>
    <row r="123" spans="1:9" x14ac:dyDescent="0.2">
      <c r="A123" s="7" t="s">
        <v>560</v>
      </c>
      <c r="B123" s="7" t="s">
        <v>561</v>
      </c>
      <c r="C123" s="7" t="s">
        <v>359</v>
      </c>
      <c r="D123" s="12" t="s">
        <v>581</v>
      </c>
      <c r="E123" s="7" t="s">
        <v>347</v>
      </c>
      <c r="F123" s="7">
        <v>1</v>
      </c>
      <c r="G123" s="7">
        <v>25000000</v>
      </c>
      <c r="H123" s="9"/>
      <c r="I123" s="7">
        <f t="shared" si="3"/>
        <v>25000000</v>
      </c>
    </row>
    <row r="124" spans="1:9" x14ac:dyDescent="0.2">
      <c r="A124" s="7" t="s">
        <v>562</v>
      </c>
      <c r="B124" s="7" t="s">
        <v>563</v>
      </c>
      <c r="C124" s="7" t="s">
        <v>362</v>
      </c>
      <c r="D124" s="7" t="s">
        <v>351</v>
      </c>
      <c r="E124" s="7" t="s">
        <v>352</v>
      </c>
      <c r="F124" s="7">
        <v>1</v>
      </c>
      <c r="G124" s="7">
        <v>1800000</v>
      </c>
      <c r="H124" s="9"/>
      <c r="I124" s="7">
        <f t="shared" si="3"/>
        <v>1800000</v>
      </c>
    </row>
    <row r="125" spans="1:9" x14ac:dyDescent="0.2">
      <c r="A125" s="7" t="s">
        <v>564</v>
      </c>
      <c r="B125" s="7" t="s">
        <v>565</v>
      </c>
      <c r="C125" s="7" t="s">
        <v>345</v>
      </c>
      <c r="D125" s="7" t="s">
        <v>346</v>
      </c>
      <c r="E125" s="7" t="s">
        <v>356</v>
      </c>
      <c r="F125" s="7">
        <v>2</v>
      </c>
      <c r="G125" s="7">
        <v>2200000</v>
      </c>
      <c r="H125" s="9"/>
      <c r="I125" s="7">
        <f t="shared" si="3"/>
        <v>4400000</v>
      </c>
    </row>
    <row r="126" spans="1:9" x14ac:dyDescent="0.2">
      <c r="A126" s="7" t="s">
        <v>566</v>
      </c>
      <c r="B126" s="7" t="s">
        <v>567</v>
      </c>
      <c r="C126" s="7" t="s">
        <v>350</v>
      </c>
      <c r="D126" s="7" t="s">
        <v>351</v>
      </c>
      <c r="E126" s="7" t="s">
        <v>352</v>
      </c>
      <c r="F126" s="7">
        <v>1</v>
      </c>
      <c r="G126" s="7">
        <v>1800000</v>
      </c>
      <c r="H126" s="9"/>
      <c r="I126" s="7">
        <f t="shared" si="3"/>
        <v>1800000</v>
      </c>
    </row>
    <row r="127" spans="1:9" x14ac:dyDescent="0.2">
      <c r="A127" s="7" t="s">
        <v>568</v>
      </c>
      <c r="B127" s="7" t="s">
        <v>569</v>
      </c>
      <c r="C127" s="7" t="s">
        <v>354</v>
      </c>
      <c r="D127" s="7" t="s">
        <v>355</v>
      </c>
      <c r="E127" s="7" t="s">
        <v>363</v>
      </c>
      <c r="F127" s="7">
        <v>1</v>
      </c>
      <c r="G127" s="7">
        <v>2500000</v>
      </c>
      <c r="H127" s="9"/>
      <c r="I127" s="7">
        <f t="shared" si="3"/>
        <v>2500000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BTTH 1</vt:lpstr>
      <vt:lpstr>BTTH2</vt:lpstr>
      <vt:lpstr>BTTH3</vt:lpstr>
      <vt:lpstr>BTTH4</vt:lpstr>
      <vt:lpstr>BTTH5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Khánh Linh</cp:lastModifiedBy>
  <dcterms:modified xsi:type="dcterms:W3CDTF">2026-01-21T02:36:25Z</dcterms:modified>
</cp:coreProperties>
</file>