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81271F1-DE65-450B-9995-DB7CBC3C9E4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hiệm vụ 1" sheetId="3" r:id="rId1"/>
    <sheet name="Nhiệm vụ 2" sheetId="5" r:id="rId2"/>
    <sheet name="Doanh thu theo chi nhánh" sheetId="4" r:id="rId3"/>
    <sheet name="Số đơn hàng theo từng chi nhánh" sheetId="6" r:id="rId4"/>
    <sheet name="DonHang" sheetId="1" r:id="rId5"/>
    <sheet name="BangGia" sheetId="2" r:id="rId6"/>
  </sheets>
  <definedNames>
    <definedName name="_xlnm._FilterDatabase" localSheetId="4" hidden="1">DonHang!$A$1:$K$1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C3" i="5"/>
  <c r="C2" i="5"/>
</calcChain>
</file>

<file path=xl/sharedStrings.xml><?xml version="1.0" encoding="utf-8"?>
<sst xmlns="http://schemas.openxmlformats.org/spreadsheetml/2006/main" count="1041" uniqueCount="208">
  <si>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</si>
  <si>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</si>
  <si>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</si>
  <si>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</si>
  <si>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</si>
  <si>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</si>
  <si>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</si>
  <si>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</si>
  <si>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</si>
  <si>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</si>
  <si>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</si>
  <si>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</si>
  <si>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</si>
  <si>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</si>
  <si>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</si>
  <si>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</si>
  <si>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</si>
  <si>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</si>
  <si>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</si>
  <si>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</si>
  <si>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</si>
  <si>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</si>
  <si>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</si>
  <si>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</si>
  <si>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</si>
  <si>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</si>
  <si>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</si>
  <si>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</si>
  <si>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</si>
  <si>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</si>
  <si>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</si>
  <si>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</si>
  <si>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</si>
  <si>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</si>
  <si>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</si>
  <si>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</si>
  <si>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</si>
  <si>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</si>
  <si>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</si>
  <si>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</si>
  <si>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</si>
  <si>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</si>
  <si>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</si>
  <si>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</si>
  <si>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</si>
  <si>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</si>
  <si>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</si>
  <si>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</si>
  <si>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</si>
  <si>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</si>
  <si>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</si>
  <si>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</si>
  <si>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</si>
  <si>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</si>
  <si>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</si>
  <si>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</si>
  <si>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</si>
  <si>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</si>
  <si>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</si>
  <si>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</si>
  <si>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</si>
  <si>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</si>
  <si>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</si>
  <si>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</si>
  <si>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</si>
  <si>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</si>
  <si>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</si>
  <si>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</si>
  <si>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</si>
  <si>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</si>
  <si>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</si>
  <si>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</si>
  <si>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</si>
  <si>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</si>
  <si>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</si>
  <si>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</si>
  <si>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</si>
  <si>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</si>
  <si>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</si>
  <si>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</si>
  <si>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</si>
  <si>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</si>
  <si>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</si>
  <si>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</si>
  <si>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</si>
  <si>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</si>
  <si>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</si>
  <si>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</si>
  <si>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</si>
  <si>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</si>
  <si>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</si>
  <si>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</si>
  <si>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</si>
  <si>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</si>
  <si>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</si>
  <si>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</si>
  <si>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</si>
  <si>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</si>
  <si>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</si>
  <si>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</si>
  <si>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</si>
  <si>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</si>
  <si>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</si>
  <si>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</si>
  <si>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</si>
  <si>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</si>
  <si>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</si>
  <si>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</si>
  <si>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</si>
  <si>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</si>
  <si>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</si>
  <si>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</si>
  <si>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</si>
  <si>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</si>
  <si>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</si>
  <si>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</si>
  <si>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</si>
  <si>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</si>
  <si>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</si>
  <si>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</si>
  <si>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</si>
  <si>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</si>
  <si>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</si>
  <si>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</si>
  <si>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</si>
  <si>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</si>
  <si>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</si>
  <si>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</si>
  <si>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</si>
  <si>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</si>
  <si>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</si>
  <si>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</si>
  <si>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</si>
  <si>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</si>
  <si>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</si>
  <si>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</si>
  <si>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</si>
  <si>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</si>
  <si>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</si>
  <si>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</si>
  <si>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</si>
  <si>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</si>
  <si>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</si>
  <si>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</si>
  <si>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</si>
  <si>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</si>
  <si>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</si>
  <si>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</si>
  <si>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</si>
  <si>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</si>
  <si>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</si>
  <si>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</si>
  <si>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</si>
  <si>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</si>
  <si>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</si>
  <si>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</si>
  <si>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</si>
  <si>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</si>
  <si>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</si>
  <si>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</si>
  <si>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</si>
  <si>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</si>
  <si>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</si>
  <si>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</si>
  <si>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</si>
  <si>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</si>
  <si>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</si>
  <si>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</si>
  <si>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</si>
  <si>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</si>
  <si>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</si>
  <si>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</si>
  <si>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</si>
  <si>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</si>
  <si>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</si>
  <si>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</si>
  <si>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</si>
  <si>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</si>
  <si>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</si>
  <si>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</si>
  <si>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</si>
  <si>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</si>
  <si>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</si>
  <si>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</si>
  <si>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</si>
  <si>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</si>
  <si>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</si>
  <si>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</si>
  <si>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</si>
  <si>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</si>
  <si>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</si>
  <si>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</si>
  <si>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</si>
  <si>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</si>
  <si>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</si>
  <si>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</si>
  <si>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</si>
  <si>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</si>
  <si>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</si>
  <si>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Tổng doanh thu (VNĐ)</t>
  </si>
  <si>
    <t>Xếp hạng (1 = cao nhất)</t>
  </si>
  <si>
    <t>Tổng cộng</t>
  </si>
  <si>
    <t>Row Labels</t>
  </si>
  <si>
    <t>Grand Total</t>
  </si>
  <si>
    <t>Sum of Thành tiền</t>
  </si>
  <si>
    <t>Count of Mã đơn hàng</t>
  </si>
  <si>
    <t>Số đơn hàng</t>
  </si>
  <si>
    <t>Doanh thu TB/đơn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</si>
</sst>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10000]d/m/yyyy;@"/>
    <numFmt numFmtId="170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NumberFormat="1"/>
    <xf numFmtId="170" fontId="6" fillId="3" borderId="1" xfId="1" applyNumberFormat="1" applyFont="1" applyFill="1" applyBorder="1" applyAlignment="1">
      <alignment horizontal="justify" vertical="center" wrapText="1"/>
    </xf>
    <xf numFmtId="0" fontId="8" fillId="0" borderId="1" xfId="0" applyNumberFormat="1" applyFont="1" applyBorder="1"/>
    <xf numFmtId="3" fontId="8" fillId="0" borderId="1" xfId="0" applyNumberFormat="1" applyFont="1" applyBorder="1"/>
    <xf numFmtId="3" fontId="9" fillId="4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uy" refreshedDate="46044.780318055557" createdVersion="8" refreshedVersion="8" minRefreshableVersion="3" recordCount="150" xr:uid="{BFDF0EC0-4831-4FAD-B977-2BF491FD6BE7}">
  <cacheSource type="worksheet">
    <worksheetSource ref="A1:K151" sheet="DonHang"/>
  </cacheSource>
  <cacheFields count="11">
    <cacheField name="Mã đơn hàng" numFmtId="0">
      <sharedItems/>
    </cacheField>
    <cacheField name="Ngày bán" numFmtId="164">
      <sharedItems containsSemiMixedTypes="0" containsNonDate="0" containsDate="1" containsString="0" minDate="2023-01-02T00:00:00" maxDate="2027-03-25T00:00:00"/>
    </cacheField>
    <cacheField name="Nhân viên" numFmtId="0">
      <sharedItems/>
    </cacheField>
    <cacheField name="Chi nhánh" numFmtId="0">
      <sharedItems count="3">
        <s v="Hà Nội"/>
        <s v="TP.HCM"/>
        <s v="Đà Nẵng"/>
      </sharedItems>
    </cacheField>
    <cacheField name="Tên sản phẩm" numFmtId="0">
      <sharedItems/>
    </cacheField>
    <cacheField name="Danh mục" numFmtId="0">
      <sharedItems/>
    </cacheField>
    <cacheField name="Số lượng" numFmtId="0">
      <sharedItems containsSemiMixedTypes="0" containsString="0" containsNumber="1" containsInteger="1" minValue="1" maxValue="5"/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/>
    </cacheField>
    <cacheField name="Ghi chú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QB-240001"/>
    <d v="2023-01-02T00:00:00"/>
    <s v="Nguyễn Minh Anh"/>
    <x v="0"/>
    <s v="Burger Bò Phô Mai"/>
    <s v="Burger"/>
    <n v="3"/>
    <n v="55000"/>
    <n v="165000"/>
    <s v="Tại quán"/>
    <m/>
  </r>
  <r>
    <s v="QB-240002"/>
    <d v="2023-01-03T00:00:00"/>
    <s v="Võ Văn Phúc"/>
    <x v="1"/>
    <s v="Burger Gà Giòn"/>
    <s v="Burger"/>
    <n v="5"/>
    <n v="45000"/>
    <n v="225000"/>
    <s v="Tại quán"/>
    <s v="Thêm tương ớt"/>
  </r>
  <r>
    <s v="QB-240003"/>
    <d v="2023-01-03T00:00:00"/>
    <s v="Nguyễn Minh Anh"/>
    <x v="0"/>
    <s v="Burger Bò Phô Mai"/>
    <s v="Burger"/>
    <n v="1"/>
    <n v="55000"/>
    <n v="55000"/>
    <s v="Tại quán"/>
    <m/>
  </r>
  <r>
    <s v="QB-240004"/>
    <d v="2023-01-04T00:00:00"/>
    <s v="Hoàng Thị Em"/>
    <x v="1"/>
    <s v="Burger Bò Phô Mai"/>
    <s v="Burger"/>
    <n v="5"/>
    <n v="55000"/>
    <n v="275000"/>
    <s v="Tại quán"/>
    <s v="Ít đá"/>
  </r>
  <r>
    <s v="QB-240005"/>
    <d v="2023-01-05T00:00:00"/>
    <s v="Trần Văn Bình"/>
    <x v="0"/>
    <s v="Gà Rán 5 Miếng"/>
    <s v="Gà rán"/>
    <n v="5"/>
    <n v="129000"/>
    <n v="645000"/>
    <s v="Grab"/>
    <m/>
  </r>
  <r>
    <s v="QB-240006"/>
    <d v="2023-01-05T00:00:00"/>
    <s v="Võ Văn Phúc"/>
    <x v="1"/>
    <s v="Gà Rán 2 Miếng"/>
    <s v="Gà rán"/>
    <n v="3"/>
    <n v="59000"/>
    <n v="177000"/>
    <s v="Grab"/>
    <m/>
  </r>
  <r>
    <s v="QB-240007"/>
    <d v="2023-01-06T00:00:00"/>
    <s v="Lê Thị Cẩm"/>
    <x v="2"/>
    <s v="Burger Gà Giòn"/>
    <s v="Burger"/>
    <n v="1"/>
    <n v="45000"/>
    <n v="45000"/>
    <s v="Grab"/>
    <m/>
  </r>
  <r>
    <s v="QB-240008"/>
    <d v="2023-01-07T00:00:00"/>
    <s v="Lê Thị Cẩm"/>
    <x v="2"/>
    <s v="Khoai Tây Chiên (M)"/>
    <s v="Món phụ"/>
    <n v="3"/>
    <n v="25000"/>
    <n v="75000"/>
    <s v="Tại quán"/>
    <s v="Không hành"/>
  </r>
  <r>
    <s v="QB-240009"/>
    <d v="2023-01-08T00:00:00"/>
    <s v="Nguyễn Minh Anh"/>
    <x v="0"/>
    <s v="Trà Đào"/>
    <s v="Nước uống"/>
    <n v="4"/>
    <n v="25000"/>
    <n v="100000"/>
    <s v="Tại quán"/>
    <s v="Ít đá"/>
  </r>
  <r>
    <s v="QB-240010"/>
    <d v="2023-01-08T00:00:00"/>
    <s v="Võ Văn Phúc"/>
    <x v="1"/>
    <s v="Khoai Tây Chiên (M)"/>
    <s v="Món phụ"/>
    <n v="3"/>
    <n v="25000"/>
    <n v="75000"/>
    <s v="ShopeeFood"/>
    <m/>
  </r>
  <r>
    <s v="QB-240011"/>
    <d v="2023-01-09T00:00:00"/>
    <s v="Nguyễn Minh Anh"/>
    <x v="0"/>
    <s v="Burger Bò Phô Mai"/>
    <s v="Burger"/>
    <n v="2"/>
    <n v="55000"/>
    <n v="110000"/>
    <s v="Grab"/>
    <m/>
  </r>
  <r>
    <s v="QB-240012"/>
    <d v="2023-01-10T00:00:00"/>
    <s v="Nguyễn Minh Anh"/>
    <x v="0"/>
    <s v="Gà Rán 2 Miếng"/>
    <s v="Gà rán"/>
    <n v="3"/>
    <n v="59000"/>
    <n v="177000"/>
    <s v="Grab"/>
    <s v="Khách VIP"/>
  </r>
  <r>
    <s v="QB-240013"/>
    <d v="2023-01-11T00:00:00"/>
    <s v="Lê Thị Cẩm"/>
    <x v="2"/>
    <s v="Pizza Rau Củ"/>
    <s v="Pizza"/>
    <n v="2"/>
    <n v="129000"/>
    <n v="258000"/>
    <s v="ShopeeFood"/>
    <m/>
  </r>
  <r>
    <s v="QB-240014"/>
    <d v="2023-01-12T00:00:00"/>
    <s v="Võ Văn Phúc"/>
    <x v="1"/>
    <s v="Khoai Tây Chiên (L)"/>
    <s v="Món phụ"/>
    <n v="1"/>
    <n v="35000"/>
    <n v="35000"/>
    <s v="ShopeeFood"/>
    <m/>
  </r>
  <r>
    <s v="QB-240015"/>
    <d v="2023-01-12T00:00:00"/>
    <s v="Võ Văn Phúc"/>
    <x v="1"/>
    <s v="Pizza Hải Sản"/>
    <s v="Pizza"/>
    <n v="2"/>
    <n v="189000"/>
    <n v="378000"/>
    <s v="Grab"/>
    <s v="Giao gấp"/>
  </r>
  <r>
    <s v="QB-240016"/>
    <d v="2023-01-13T00:00:00"/>
    <s v="Võ Văn Phúc"/>
    <x v="1"/>
    <s v="Salad Trộn"/>
    <s v="Món phụ"/>
    <n v="5"/>
    <n v="39000"/>
    <n v="195000"/>
    <s v="Tại quán"/>
    <s v="Khách VIP"/>
  </r>
  <r>
    <s v="QB-240017"/>
    <d v="2023-01-14T00:00:00"/>
    <s v="Trần Văn Bình"/>
    <x v="0"/>
    <s v="Pepsi"/>
    <s v="Nước uống"/>
    <n v="1"/>
    <n v="18000"/>
    <n v="18000"/>
    <s v="Grab"/>
    <s v="Giao gấp"/>
  </r>
  <r>
    <s v="QB-240018"/>
    <d v="2023-01-15T00:00:00"/>
    <s v="Nguyễn Minh Anh"/>
    <x v="0"/>
    <s v="Pizza Hải Sản"/>
    <s v="Pizza"/>
    <n v="5"/>
    <n v="189000"/>
    <n v="945000"/>
    <s v="ShopeeFood"/>
    <s v="Khách VIP"/>
  </r>
  <r>
    <s v="QB-240019"/>
    <d v="2023-01-15T00:00:00"/>
    <s v="Võ Văn Phúc"/>
    <x v="1"/>
    <s v="Gà Rán 5 Miếng"/>
    <s v="Gà rán"/>
    <n v="4"/>
    <n v="129000"/>
    <n v="516000"/>
    <s v="ShopeeFood"/>
    <s v="Không hành"/>
  </r>
  <r>
    <s v="QB-240020"/>
    <d v="2023-01-16T00:00:00"/>
    <s v="Lê Thị Cẩm"/>
    <x v="2"/>
    <s v="Burger Tôm"/>
    <s v="Burger"/>
    <n v="2"/>
    <n v="65000"/>
    <n v="130000"/>
    <s v="ShopeeFood"/>
    <s v="Ít đá"/>
  </r>
  <r>
    <s v="QB-240021"/>
    <d v="2023-01-17T00:00:00"/>
    <s v="Lê Thị Cẩm"/>
    <x v="2"/>
    <s v="Salad Trộn"/>
    <s v="Món phụ"/>
    <n v="5"/>
    <n v="39000"/>
    <n v="195000"/>
    <s v="Grab"/>
    <s v="Thêm tương ớt"/>
  </r>
  <r>
    <s v="QB-240022"/>
    <d v="2023-01-18T00:00:00"/>
    <s v="Lê Thị Cẩm"/>
    <x v="2"/>
    <s v="Pizza Hải Sản"/>
    <s v="Pizza"/>
    <n v="2"/>
    <n v="189000"/>
    <n v="378000"/>
    <s v="ShopeeFood"/>
    <s v="Không hành"/>
  </r>
  <r>
    <s v="QB-240023"/>
    <d v="2023-01-18T00:00:00"/>
    <s v="Nguyễn Minh Anh"/>
    <x v="0"/>
    <s v="Pepsi"/>
    <s v="Nước uống"/>
    <n v="1"/>
    <n v="18000"/>
    <n v="18000"/>
    <s v="Tại quán"/>
    <m/>
  </r>
  <r>
    <s v="QB-240024"/>
    <d v="2023-01-19T00:00:00"/>
    <s v="Phạm Hoàng Dũng"/>
    <x v="2"/>
    <s v="Khoai Tây Chiên (M)"/>
    <s v="Món phụ"/>
    <n v="1"/>
    <n v="25000"/>
    <n v="25000"/>
    <s v="Grab"/>
    <s v="Giao gấp"/>
  </r>
  <r>
    <s v="QB-240025"/>
    <d v="2023-01-20T00:00:00"/>
    <s v="Phạm Hoàng Dũng"/>
    <x v="2"/>
    <s v="Cánh Gà Chiên Mắm"/>
    <s v="Gà rán"/>
    <n v="3"/>
    <n v="79000"/>
    <n v="237000"/>
    <s v="ShopeeFood"/>
    <m/>
  </r>
  <r>
    <s v="QB-240026"/>
    <d v="2023-01-20T00:00:00"/>
    <s v="Võ Văn Phúc"/>
    <x v="1"/>
    <s v="Burger Gà Giòn"/>
    <s v="Burger"/>
    <n v="5"/>
    <n v="45000"/>
    <n v="225000"/>
    <s v="Grab"/>
    <s v="Khách VIP"/>
  </r>
  <r>
    <s v="QB-240027"/>
    <d v="2023-01-21T00:00:00"/>
    <s v="Lê Thị Cẩm"/>
    <x v="2"/>
    <s v="Gà Rán 2 Miếng"/>
    <s v="Gà rán"/>
    <n v="2"/>
    <n v="59000"/>
    <n v="118000"/>
    <s v="Grab"/>
    <m/>
  </r>
  <r>
    <s v="QB-240028"/>
    <d v="2023-01-22T00:00:00"/>
    <s v="Hoàng Thị Em"/>
    <x v="1"/>
    <s v="Coca Cola"/>
    <s v="Nước uống"/>
    <n v="2"/>
    <n v="18000"/>
    <n v="36000"/>
    <s v="ShopeeFood"/>
    <m/>
  </r>
  <r>
    <s v="QB-240029"/>
    <d v="2023-01-23T00:00:00"/>
    <s v="Lê Thị Cẩm"/>
    <x v="2"/>
    <s v="Pepsi"/>
    <s v="Nước uống"/>
    <n v="5"/>
    <n v="18000"/>
    <n v="90000"/>
    <s v="ShopeeFood"/>
    <m/>
  </r>
  <r>
    <s v="QB-240030"/>
    <d v="2023-01-23T00:00:00"/>
    <s v="Lê Thị Cẩm"/>
    <x v="2"/>
    <s v="Coca Cola"/>
    <s v="Nước uống"/>
    <n v="2"/>
    <n v="18000"/>
    <n v="36000"/>
    <s v="ShopeeFood"/>
    <s v="Ít đá"/>
  </r>
  <r>
    <s v="QB-240031"/>
    <d v="2023-01-24T00:00:00"/>
    <s v="Hoàng Thị Em"/>
    <x v="1"/>
    <s v="Pizza Rau Củ"/>
    <s v="Pizza"/>
    <n v="4"/>
    <n v="129000"/>
    <n v="516000"/>
    <s v="Tại quán"/>
    <m/>
  </r>
  <r>
    <s v="QB-240032"/>
    <d v="2023-02-01T00:00:00"/>
    <s v="Lê Thị Cẩm"/>
    <x v="2"/>
    <s v="Pizza Hải Sản"/>
    <s v="Pizza"/>
    <n v="1"/>
    <n v="189000"/>
    <n v="189000"/>
    <s v="Tại quán"/>
    <s v="Thêm tương ớt"/>
  </r>
  <r>
    <s v="QB-240033"/>
    <d v="2023-02-02T00:00:00"/>
    <s v="Nguyễn Minh Anh"/>
    <x v="0"/>
    <s v="Salad Trộn"/>
    <s v="Món phụ"/>
    <n v="4"/>
    <n v="39000"/>
    <n v="156000"/>
    <s v="Tại quán"/>
    <s v="Ít đá"/>
  </r>
  <r>
    <s v="QB-240034"/>
    <d v="2023-02-02T00:00:00"/>
    <s v="Trần Văn Bình"/>
    <x v="0"/>
    <s v="Khoai Tây Chiên (L)"/>
    <s v="Món phụ"/>
    <n v="4"/>
    <n v="35000"/>
    <n v="140000"/>
    <s v="ShopeeFood"/>
    <m/>
  </r>
  <r>
    <s v="QB-240035"/>
    <d v="2023-02-03T00:00:00"/>
    <s v="Hoàng Thị Em"/>
    <x v="1"/>
    <s v="Pepsi"/>
    <s v="Nước uống"/>
    <n v="5"/>
    <n v="18000"/>
    <n v="90000"/>
    <s v="Grab"/>
    <m/>
  </r>
  <r>
    <s v="QB-240036"/>
    <d v="2023-02-04T00:00:00"/>
    <s v="Võ Văn Phúc"/>
    <x v="1"/>
    <s v="Salad Trộn"/>
    <s v="Món phụ"/>
    <n v="2"/>
    <n v="39000"/>
    <n v="78000"/>
    <s v="ShopeeFood"/>
    <m/>
  </r>
  <r>
    <s v="QB-240037"/>
    <d v="2023-02-05T00:00:00"/>
    <s v="Võ Văn Phúc"/>
    <x v="1"/>
    <s v="Khoai Tây Chiên (L)"/>
    <s v="Món phụ"/>
    <n v="3"/>
    <n v="35000"/>
    <n v="105000"/>
    <s v="Grab"/>
    <s v="Ít đá"/>
  </r>
  <r>
    <s v="QB-240038"/>
    <d v="2023-02-05T00:00:00"/>
    <s v="Nguyễn Minh Anh"/>
    <x v="0"/>
    <s v="Pizza Hải Sản"/>
    <s v="Pizza"/>
    <n v="2"/>
    <n v="189000"/>
    <n v="378000"/>
    <s v="Tại quán"/>
    <s v="Khách VIP"/>
  </r>
  <r>
    <s v="QB-240039"/>
    <d v="2023-02-06T00:00:00"/>
    <s v="Hoàng Thị Em"/>
    <x v="1"/>
    <s v="Cánh Gà Chiên Mắm"/>
    <s v="Gà rán"/>
    <n v="2"/>
    <n v="79000"/>
    <n v="158000"/>
    <s v="ShopeeFood"/>
    <m/>
  </r>
  <r>
    <s v="QB-240040"/>
    <d v="2023-02-07T00:00:00"/>
    <s v="Nguyễn Minh Anh"/>
    <x v="0"/>
    <s v="Salad Trộn"/>
    <s v="Món phụ"/>
    <n v="1"/>
    <n v="39000"/>
    <n v="39000"/>
    <s v="Tại quán"/>
    <m/>
  </r>
  <r>
    <s v="QB-240041"/>
    <d v="2023-02-08T00:00:00"/>
    <s v="Lê Thị Cẩm"/>
    <x v="2"/>
    <s v="Burger Gà Giòn"/>
    <s v="Burger"/>
    <n v="5"/>
    <n v="45000"/>
    <n v="225000"/>
    <s v="Tại quán"/>
    <m/>
  </r>
  <r>
    <s v="QB-240042"/>
    <d v="2023-02-08T00:00:00"/>
    <s v="Phạm Hoàng Dũng"/>
    <x v="2"/>
    <s v="Pizza Hải Sản"/>
    <s v="Pizza"/>
    <n v="5"/>
    <n v="189000"/>
    <n v="945000"/>
    <s v="Tại quán"/>
    <s v="Thêm tương ớt"/>
  </r>
  <r>
    <s v="QB-240043"/>
    <d v="2023-02-09T00:00:00"/>
    <s v="Phạm Hoàng Dũng"/>
    <x v="2"/>
    <s v="Pizza Hải Sản"/>
    <s v="Pizza"/>
    <n v="4"/>
    <n v="189000"/>
    <n v="756000"/>
    <s v="Grab"/>
    <m/>
  </r>
  <r>
    <s v="QB-240044"/>
    <d v="2023-02-10T00:00:00"/>
    <s v="Nguyễn Minh Anh"/>
    <x v="0"/>
    <s v="Khoai Tây Chiên (L)"/>
    <s v="Món phụ"/>
    <n v="4"/>
    <n v="35000"/>
    <n v="140000"/>
    <s v="Grab"/>
    <s v="Giao gấp"/>
  </r>
  <r>
    <s v="QB-240045"/>
    <d v="2023-02-11T00:00:00"/>
    <s v="Phạm Hoàng Dũng"/>
    <x v="2"/>
    <s v="Pepsi"/>
    <s v="Nước uống"/>
    <n v="1"/>
    <n v="18000"/>
    <n v="18000"/>
    <s v="ShopeeFood"/>
    <m/>
  </r>
  <r>
    <s v="QB-240046"/>
    <d v="2023-02-11T00:00:00"/>
    <s v="Phạm Hoàng Dũng"/>
    <x v="2"/>
    <s v="Salad Trộn"/>
    <s v="Món phụ"/>
    <n v="3"/>
    <n v="39000"/>
    <n v="117000"/>
    <s v="Tại quán"/>
    <m/>
  </r>
  <r>
    <s v="QB-240047"/>
    <d v="2023-02-12T00:00:00"/>
    <s v="Trần Văn Bình"/>
    <x v="0"/>
    <s v="Cánh Gà Chiên Mắm"/>
    <s v="Gà rán"/>
    <n v="4"/>
    <n v="79000"/>
    <n v="316000"/>
    <s v="Tại quán"/>
    <s v="Giao gấp"/>
  </r>
  <r>
    <s v="QB-240048"/>
    <d v="2023-02-13T00:00:00"/>
    <s v="Lê Thị Cẩm"/>
    <x v="2"/>
    <s v="Gà Rán 5 Miếng"/>
    <s v="Gà rán"/>
    <n v="2"/>
    <n v="129000"/>
    <n v="258000"/>
    <s v="Tại quán"/>
    <s v="Không hành"/>
  </r>
  <r>
    <s v="QB-240049"/>
    <d v="2023-02-14T00:00:00"/>
    <s v="Nguyễn Minh Anh"/>
    <x v="0"/>
    <s v="Burger Bò Phô Mai"/>
    <s v="Burger"/>
    <n v="5"/>
    <n v="55000"/>
    <n v="275000"/>
    <s v="Tại quán"/>
    <m/>
  </r>
  <r>
    <s v="QB-240050"/>
    <d v="2023-02-15T00:00:00"/>
    <s v="Trần Văn Bình"/>
    <x v="0"/>
    <s v="Gà Rán 2 Miếng"/>
    <s v="Gà rán"/>
    <n v="4"/>
    <n v="59000"/>
    <n v="236000"/>
    <s v="Grab"/>
    <m/>
  </r>
  <r>
    <s v="QB-240051"/>
    <d v="2023-02-15T00:00:00"/>
    <s v="Nguyễn Minh Anh"/>
    <x v="0"/>
    <s v="Burger Tôm"/>
    <s v="Burger"/>
    <n v="4"/>
    <n v="65000"/>
    <n v="260000"/>
    <s v="Tại quán"/>
    <s v="Giao gấp"/>
  </r>
  <r>
    <s v="QB-240052"/>
    <d v="2023-02-16T00:00:00"/>
    <s v="Phạm Hoàng Dũng"/>
    <x v="2"/>
    <s v="Pizza Pepperoni"/>
    <s v="Pizza"/>
    <n v="4"/>
    <n v="159000"/>
    <n v="636000"/>
    <s v="ShopeeFood"/>
    <s v="Ít đá"/>
  </r>
  <r>
    <s v="QB-240053"/>
    <d v="2023-02-17T00:00:00"/>
    <s v="Võ Văn Phúc"/>
    <x v="1"/>
    <s v="Gà Rán 5 Miếng"/>
    <s v="Gà rán"/>
    <n v="2"/>
    <n v="129000"/>
    <n v="258000"/>
    <s v="Tại quán"/>
    <m/>
  </r>
  <r>
    <s v="QB-240054"/>
    <d v="2023-02-18T00:00:00"/>
    <s v="Nguyễn Minh Anh"/>
    <x v="0"/>
    <s v="Khoai Tây Chiên (M)"/>
    <s v="Món phụ"/>
    <n v="5"/>
    <n v="25000"/>
    <n v="125000"/>
    <s v="Tại quán"/>
    <s v="Khách VIP"/>
  </r>
  <r>
    <s v="QB-240055"/>
    <d v="2023-02-18T00:00:00"/>
    <s v="Nguyễn Minh Anh"/>
    <x v="0"/>
    <s v="Khoai Tây Chiên (M)"/>
    <s v="Món phụ"/>
    <n v="4"/>
    <n v="25000"/>
    <n v="100000"/>
    <s v="ShopeeFood"/>
    <s v="Ít đá"/>
  </r>
  <r>
    <s v="QB-240056"/>
    <d v="2023-02-19T00:00:00"/>
    <s v="Nguyễn Minh Anh"/>
    <x v="0"/>
    <s v="Cánh Gà Chiên Mắm"/>
    <s v="Gà rán"/>
    <n v="1"/>
    <n v="79000"/>
    <n v="79000"/>
    <s v="Tại quán"/>
    <m/>
  </r>
  <r>
    <s v="QB-240057"/>
    <d v="2023-02-20T00:00:00"/>
    <s v="Nguyễn Minh Anh"/>
    <x v="0"/>
    <s v="Khoai Tây Chiên (L)"/>
    <s v="Món phụ"/>
    <n v="2"/>
    <n v="35000"/>
    <n v="70000"/>
    <s v="Grab"/>
    <m/>
  </r>
  <r>
    <s v="QB-240058"/>
    <d v="2023-02-21T00:00:00"/>
    <s v="Trần Văn Bình"/>
    <x v="0"/>
    <s v="Khoai Tây Chiên (M)"/>
    <s v="Món phụ"/>
    <n v="5"/>
    <n v="25000"/>
    <n v="125000"/>
    <s v="Tại quán"/>
    <s v="Thêm tương ớt"/>
  </r>
  <r>
    <s v="QB-240059"/>
    <d v="2023-02-22T00:00:00"/>
    <s v="Phạm Hoàng Dũng"/>
    <x v="2"/>
    <s v="Khoai Tây Chiên (L)"/>
    <s v="Món phụ"/>
    <n v="5"/>
    <n v="35000"/>
    <n v="175000"/>
    <s v="ShopeeFood"/>
    <s v="Ít đá"/>
  </r>
  <r>
    <s v="QB-240060"/>
    <d v="2023-02-23T00:00:00"/>
    <s v="Lê Thị Cẩm"/>
    <x v="2"/>
    <s v="Pizza Hải Sản"/>
    <s v="Pizza"/>
    <n v="3"/>
    <n v="189000"/>
    <n v="567000"/>
    <s v="Tại quán"/>
    <m/>
  </r>
  <r>
    <s v="QB-240061"/>
    <d v="2023-02-23T00:00:00"/>
    <s v="Trần Văn Bình"/>
    <x v="0"/>
    <s v="Khoai Tây Chiên (L)"/>
    <s v="Món phụ"/>
    <n v="3"/>
    <n v="35000"/>
    <n v="105000"/>
    <s v="Grab"/>
    <s v="Khách VIP"/>
  </r>
  <r>
    <s v="QB-240062"/>
    <d v="2023-02-24T00:00:00"/>
    <s v="Nguyễn Minh Anh"/>
    <x v="0"/>
    <s v="Gà Rán 5 Miếng"/>
    <s v="Gà rán"/>
    <n v="5"/>
    <n v="129000"/>
    <n v="645000"/>
    <s v="ShopeeFood"/>
    <m/>
  </r>
  <r>
    <s v="QB-240063"/>
    <d v="2023-02-25T00:00:00"/>
    <s v="Hoàng Thị Em"/>
    <x v="1"/>
    <s v="Pizza Hải Sản"/>
    <s v="Pizza"/>
    <n v="5"/>
    <n v="189000"/>
    <n v="945000"/>
    <s v="Grab"/>
    <m/>
  </r>
  <r>
    <s v="QB-240064"/>
    <d v="2023-02-26T00:00:00"/>
    <s v="Nguyễn Minh Anh"/>
    <x v="0"/>
    <s v="Trà Đào"/>
    <s v="Nước uống"/>
    <n v="2"/>
    <n v="25000"/>
    <n v="50000"/>
    <s v="Grab"/>
    <m/>
  </r>
  <r>
    <s v="QB-240065"/>
    <d v="2023-02-27T00:00:00"/>
    <s v="Phạm Hoàng Dũng"/>
    <x v="2"/>
    <s v="Pepsi"/>
    <s v="Nước uống"/>
    <n v="5"/>
    <n v="18000"/>
    <n v="90000"/>
    <s v="ShopeeFood"/>
    <m/>
  </r>
  <r>
    <s v="QB-240066"/>
    <d v="2023-02-28T00:00:00"/>
    <s v="Võ Văn Phúc"/>
    <x v="1"/>
    <s v="Cánh Gà Chiên Mắm"/>
    <s v="Gà rán"/>
    <n v="1"/>
    <n v="79000"/>
    <n v="79000"/>
    <s v="ShopeeFood"/>
    <s v="Ít đá"/>
  </r>
  <r>
    <s v="QB-240067"/>
    <d v="2023-03-01T00:00:00"/>
    <s v="Võ Văn Phúc"/>
    <x v="1"/>
    <s v="Burger Gà Giòn"/>
    <s v="Burger"/>
    <n v="2"/>
    <n v="45000"/>
    <n v="90000"/>
    <s v="Grab"/>
    <m/>
  </r>
  <r>
    <s v="QB-240068"/>
    <d v="2023-03-02T00:00:00"/>
    <s v="Võ Văn Phúc"/>
    <x v="1"/>
    <s v="Cánh Gà Chiên Mắm"/>
    <s v="Gà rán"/>
    <n v="2"/>
    <n v="79000"/>
    <n v="158000"/>
    <s v="Grab"/>
    <m/>
  </r>
  <r>
    <s v="QB-240069"/>
    <d v="2023-03-02T00:00:00"/>
    <s v="Trần Văn Bình"/>
    <x v="0"/>
    <s v="Salad Trộn"/>
    <s v="Món phụ"/>
    <n v="3"/>
    <n v="39000"/>
    <n v="117000"/>
    <s v="Tại quán"/>
    <m/>
  </r>
  <r>
    <s v="QB-240070"/>
    <d v="2023-03-03T00:00:00"/>
    <s v="Phạm Hoàng Dũng"/>
    <x v="2"/>
    <s v="Pizza Pepperoni"/>
    <s v="Pizza"/>
    <n v="1"/>
    <n v="159000"/>
    <n v="159000"/>
    <s v="Tại quán"/>
    <s v="Giao gấp"/>
  </r>
  <r>
    <s v="QB-240071"/>
    <d v="2023-03-04T00:00:00"/>
    <s v="Nguyễn Minh Anh"/>
    <x v="0"/>
    <s v="Burger Bò Phô Mai"/>
    <s v="Burger"/>
    <n v="3"/>
    <n v="55000"/>
    <n v="165000"/>
    <s v="Tại quán"/>
    <m/>
  </r>
  <r>
    <s v="QB-240072"/>
    <d v="2023-03-05T00:00:00"/>
    <s v="Võ Văn Phúc"/>
    <x v="1"/>
    <s v="Gà Rán 5 Miếng"/>
    <s v="Gà rán"/>
    <n v="5"/>
    <n v="129000"/>
    <n v="645000"/>
    <s v="ShopeeFood"/>
    <s v="Giao gấp"/>
  </r>
  <r>
    <s v="QB-240073"/>
    <d v="2023-03-05T00:00:00"/>
    <s v="Nguyễn Minh Anh"/>
    <x v="0"/>
    <s v="Burger Gà Giòn"/>
    <s v="Burger"/>
    <n v="1"/>
    <n v="45000"/>
    <n v="45000"/>
    <s v="ShopeeFood"/>
    <m/>
  </r>
  <r>
    <s v="QB-240074"/>
    <d v="2023-03-06T00:00:00"/>
    <s v="Nguyễn Minh Anh"/>
    <x v="0"/>
    <s v="Pepsi"/>
    <s v="Nước uống"/>
    <n v="3"/>
    <n v="18000"/>
    <n v="54000"/>
    <s v="ShopeeFood"/>
    <s v="Ít đá"/>
  </r>
  <r>
    <s v="QB-240075"/>
    <d v="2023-03-07T00:00:00"/>
    <s v="Phạm Hoàng Dũng"/>
    <x v="2"/>
    <s v="Burger Tôm"/>
    <s v="Burger"/>
    <n v="1"/>
    <n v="65000"/>
    <n v="65000"/>
    <s v="Grab"/>
    <s v="Khách VIP"/>
  </r>
  <r>
    <s v="QB-240076"/>
    <d v="2023-03-08T00:00:00"/>
    <s v="Lê Thị Cẩm"/>
    <x v="2"/>
    <s v="Pizza Hải Sản"/>
    <s v="Pizza"/>
    <n v="2"/>
    <n v="189000"/>
    <n v="378000"/>
    <s v="ShopeeFood"/>
    <m/>
  </r>
  <r>
    <s v="QB-240077"/>
    <d v="2023-03-08T00:00:00"/>
    <s v="Hoàng Thị Em"/>
    <x v="1"/>
    <s v="Trà Đào"/>
    <s v="Nước uống"/>
    <n v="4"/>
    <n v="25000"/>
    <n v="100000"/>
    <s v="ShopeeFood"/>
    <m/>
  </r>
  <r>
    <s v="QB-240078"/>
    <d v="2023-03-09T00:00:00"/>
    <s v="Trần Văn Bình"/>
    <x v="0"/>
    <s v="Coca Cola"/>
    <s v="Nước uống"/>
    <n v="2"/>
    <n v="18000"/>
    <n v="36000"/>
    <s v="Grab"/>
    <m/>
  </r>
  <r>
    <s v="QB-240079"/>
    <d v="2023-03-10T00:00:00"/>
    <s v="Võ Văn Phúc"/>
    <x v="1"/>
    <s v="Trà Đào"/>
    <s v="Nước uống"/>
    <n v="3"/>
    <n v="25000"/>
    <n v="75000"/>
    <s v="Grab"/>
    <m/>
  </r>
  <r>
    <s v="QB-240080"/>
    <d v="2023-03-11T00:00:00"/>
    <s v="Trần Văn Bình"/>
    <x v="0"/>
    <s v="Coca Cola"/>
    <s v="Nước uống"/>
    <n v="1"/>
    <n v="18000"/>
    <n v="18000"/>
    <s v="Grab"/>
    <m/>
  </r>
  <r>
    <s v="QB-240081"/>
    <d v="2023-03-11T00:00:00"/>
    <s v="Trần Văn Bình"/>
    <x v="0"/>
    <s v="Pizza Hải Sản"/>
    <s v="Pizza"/>
    <n v="4"/>
    <n v="189000"/>
    <n v="756000"/>
    <s v="Grab"/>
    <m/>
  </r>
  <r>
    <s v="QB-240082"/>
    <d v="2023-03-12T00:00:00"/>
    <s v="Trần Văn Bình"/>
    <x v="0"/>
    <s v="Burger Bò Phô Mai"/>
    <s v="Burger"/>
    <n v="2"/>
    <n v="55000"/>
    <n v="110000"/>
    <s v="Grab"/>
    <s v="Khách VIP"/>
  </r>
  <r>
    <s v="QB-240083"/>
    <d v="2023-03-13T00:00:00"/>
    <s v="Nguyễn Minh Anh"/>
    <x v="0"/>
    <s v="Coca Cola"/>
    <s v="Nước uống"/>
    <n v="3"/>
    <n v="18000"/>
    <n v="54000"/>
    <s v="Grab"/>
    <s v="Ít đá"/>
  </r>
  <r>
    <s v="QB-240084"/>
    <d v="2023-03-14T00:00:00"/>
    <s v="Võ Văn Phúc"/>
    <x v="1"/>
    <s v="Pepsi"/>
    <s v="Nước uống"/>
    <n v="5"/>
    <n v="18000"/>
    <n v="90000"/>
    <s v="Grab"/>
    <m/>
  </r>
  <r>
    <s v="QB-240085"/>
    <d v="2023-03-15T00:00:00"/>
    <s v="Lê Thị Cẩm"/>
    <x v="2"/>
    <s v="Burger Tôm"/>
    <s v="Burger"/>
    <n v="5"/>
    <n v="65000"/>
    <n v="325000"/>
    <s v="Grab"/>
    <m/>
  </r>
  <r>
    <s v="QB-240086"/>
    <d v="2023-03-15T00:00:00"/>
    <s v="Hoàng Thị Em"/>
    <x v="1"/>
    <s v="Gà Rán 2 Miếng"/>
    <s v="Gà rán"/>
    <n v="3"/>
    <n v="59000"/>
    <n v="177000"/>
    <s v="ShopeeFood"/>
    <s v="Khách VIP"/>
  </r>
  <r>
    <s v="QB-240087"/>
    <d v="2023-03-15T00:00:00"/>
    <s v="Hoàng Thị Em"/>
    <x v="1"/>
    <s v="Cánh Gà Chiên Mắm"/>
    <s v="Gà rán"/>
    <n v="1"/>
    <n v="79000"/>
    <n v="79000"/>
    <s v="Grab"/>
    <s v="Thêm tương ớt"/>
  </r>
  <r>
    <s v="QB-240088"/>
    <d v="2023-03-16T00:00:00"/>
    <s v="Lê Thị Cẩm"/>
    <x v="2"/>
    <s v="Burger Bò Phô Mai"/>
    <s v="Burger"/>
    <n v="4"/>
    <n v="55000"/>
    <n v="220000"/>
    <s v="Tại quán"/>
    <s v="Ít đá"/>
  </r>
  <r>
    <s v="QB-240089"/>
    <d v="2023-03-17T00:00:00"/>
    <s v="Võ Văn Phúc"/>
    <x v="1"/>
    <s v="Salad Trộn"/>
    <s v="Món phụ"/>
    <n v="2"/>
    <n v="39000"/>
    <n v="78000"/>
    <s v="Grab"/>
    <s v="Giao gấp"/>
  </r>
  <r>
    <s v="QB-240090"/>
    <d v="2023-03-18T00:00:00"/>
    <s v="Võ Văn Phúc"/>
    <x v="1"/>
    <s v="Trà Đào"/>
    <s v="Nước uống"/>
    <n v="3"/>
    <n v="25000"/>
    <n v="75000"/>
    <s v="ShopeeFood"/>
    <s v="Khách VIP"/>
  </r>
  <r>
    <s v="QB-240091"/>
    <d v="2023-03-18T00:00:00"/>
    <s v="Nguyễn Minh Anh"/>
    <x v="0"/>
    <s v="Salad Trộn"/>
    <s v="Món phụ"/>
    <n v="3"/>
    <n v="39000"/>
    <n v="117000"/>
    <s v="ShopeeFood"/>
    <m/>
  </r>
  <r>
    <s v="QB-240092"/>
    <d v="2023-03-19T00:00:00"/>
    <s v="Phạm Hoàng Dũng"/>
    <x v="2"/>
    <s v="Pizza Rau Củ"/>
    <s v="Pizza"/>
    <n v="4"/>
    <n v="129000"/>
    <n v="516000"/>
    <s v="ShopeeFood"/>
    <m/>
  </r>
  <r>
    <s v="QB-240093"/>
    <d v="2023-03-20T00:00:00"/>
    <s v="Trần Văn Bình"/>
    <x v="0"/>
    <s v="Pizza Hải Sản"/>
    <s v="Pizza"/>
    <n v="4"/>
    <n v="189000"/>
    <n v="756000"/>
    <s v="ShopeeFood"/>
    <s v="Giao gấp"/>
  </r>
  <r>
    <s v="QB-240094"/>
    <d v="2023-03-21T00:00:00"/>
    <s v="Võ Văn Phúc"/>
    <x v="1"/>
    <s v="Trà Đào"/>
    <s v="Nước uống"/>
    <n v="2"/>
    <n v="25000"/>
    <n v="50000"/>
    <s v="ShopeeFood"/>
    <s v="Thêm tương ớt"/>
  </r>
  <r>
    <s v="QB-240095"/>
    <d v="2023-03-22T00:00:00"/>
    <s v="Phạm Hoàng Dũng"/>
    <x v="2"/>
    <s v="Cánh Gà Chiên Mắm"/>
    <s v="Gà rán"/>
    <n v="1"/>
    <n v="79000"/>
    <n v="79000"/>
    <s v="Grab"/>
    <m/>
  </r>
  <r>
    <s v="QB-240096"/>
    <d v="2023-03-23T00:00:00"/>
    <s v="Phạm Hoàng Dũng"/>
    <x v="2"/>
    <s v="Coca Cola"/>
    <s v="Nước uống"/>
    <n v="5"/>
    <n v="18000"/>
    <n v="90000"/>
    <s v="ShopeeFood"/>
    <s v="Khách VIP"/>
  </r>
  <r>
    <s v="QB-240097"/>
    <d v="2023-03-23T00:00:00"/>
    <s v="Phạm Hoàng Dũng"/>
    <x v="2"/>
    <s v="Gà Rán 5 Miếng"/>
    <s v="Gà rán"/>
    <n v="2"/>
    <n v="129000"/>
    <n v="258000"/>
    <s v="ShopeeFood"/>
    <s v="Không hành"/>
  </r>
  <r>
    <s v="QB-240098"/>
    <d v="2023-03-24T00:00:00"/>
    <s v="Võ Văn Phúc"/>
    <x v="1"/>
    <s v="Burger Gà Giòn"/>
    <s v="Burger"/>
    <n v="3"/>
    <n v="45000"/>
    <n v="135000"/>
    <s v="ShopeeFood"/>
    <s v="Thêm tương ớt"/>
  </r>
  <r>
    <s v="QB-240099"/>
    <d v="2024-03-24T00:00:00"/>
    <s v="Nguyễn Minh Anh"/>
    <x v="0"/>
    <s v="Pepsi"/>
    <s v="Nước uống"/>
    <n v="2"/>
    <n v="18000"/>
    <n v="36000"/>
    <s v="ShopeeFood"/>
    <m/>
  </r>
  <r>
    <s v="QB-240100"/>
    <d v="2025-03-24T00:00:00"/>
    <s v="Trần Văn Bình"/>
    <x v="0"/>
    <s v="Burger Tôm"/>
    <s v="Burger"/>
    <n v="1"/>
    <n v="65000"/>
    <n v="65000"/>
    <s v="Tại quán"/>
    <m/>
  </r>
  <r>
    <s v="QB-240101"/>
    <d v="2026-03-24T00:00:00"/>
    <s v="Hoàng Thị Em"/>
    <x v="1"/>
    <s v="Pepsi"/>
    <s v="Nước uống"/>
    <n v="1"/>
    <n v="18000"/>
    <n v="18000"/>
    <s v="Grab"/>
    <s v="Giao gấp"/>
  </r>
  <r>
    <s v="QB-240102"/>
    <d v="2027-03-24T00:00:00"/>
    <s v="Hoàng Thị Em"/>
    <x v="1"/>
    <s v="Pizza Hải Sản"/>
    <s v="Pizza"/>
    <n v="4"/>
    <n v="189000"/>
    <n v="756000"/>
    <s v="Grab"/>
    <s v="Giao gấp"/>
  </r>
  <r>
    <s v="QB-240103"/>
    <d v="2023-07-29T00:00:00"/>
    <s v="Trần Văn Bình"/>
    <x v="0"/>
    <s v="Khoai Tây Chiên (L)"/>
    <s v="Món phụ"/>
    <n v="1"/>
    <n v="35000"/>
    <n v="35000"/>
    <s v="Tại quán"/>
    <s v="Giao gấp"/>
  </r>
  <r>
    <s v="QB-240104"/>
    <d v="2023-07-30T00:00:00"/>
    <s v="Trần Văn Bình"/>
    <x v="0"/>
    <s v="Coca Cola"/>
    <s v="Nước uống"/>
    <n v="5"/>
    <n v="18000"/>
    <n v="90000"/>
    <s v="Grab"/>
    <m/>
  </r>
  <r>
    <s v="QB-240105"/>
    <d v="2023-07-31T00:00:00"/>
    <s v="Trần Văn Bình"/>
    <x v="0"/>
    <s v="Trà Đào"/>
    <s v="Nước uống"/>
    <n v="1"/>
    <n v="25000"/>
    <n v="25000"/>
    <s v="Grab"/>
    <m/>
  </r>
  <r>
    <s v="QB-240106"/>
    <d v="2023-01-08T00:00:00"/>
    <s v="Võ Văn Phúc"/>
    <x v="1"/>
    <s v="Cánh Gà Chiên Mắm"/>
    <s v="Gà rán"/>
    <n v="5"/>
    <n v="79000"/>
    <n v="395000"/>
    <s v="ShopeeFood"/>
    <s v="Khách VIP"/>
  </r>
  <r>
    <s v="QB-240107"/>
    <d v="2023-02-08T00:00:00"/>
    <s v="Hoàng Thị Em"/>
    <x v="1"/>
    <s v="Pepsi"/>
    <s v="Nước uống"/>
    <n v="5"/>
    <n v="18000"/>
    <n v="90000"/>
    <s v="Grab"/>
    <s v="Ít đá"/>
  </r>
  <r>
    <s v="QB-240108"/>
    <d v="2023-03-08T00:00:00"/>
    <s v="Trần Văn Bình"/>
    <x v="0"/>
    <s v="Salad Trộn"/>
    <s v="Món phụ"/>
    <n v="4"/>
    <n v="39000"/>
    <n v="156000"/>
    <s v="Grab"/>
    <m/>
  </r>
  <r>
    <s v="QB-240109"/>
    <d v="2023-04-08T00:00:00"/>
    <s v="Võ Văn Phúc"/>
    <x v="1"/>
    <s v="Pizza Pepperoni"/>
    <s v="Pizza"/>
    <n v="5"/>
    <n v="159000"/>
    <n v="795000"/>
    <s v="Grab"/>
    <m/>
  </r>
  <r>
    <s v="QB-240110"/>
    <d v="2023-04-09T00:00:00"/>
    <s v="Phạm Hoàng Dũng"/>
    <x v="2"/>
    <s v="Burger Gà Giòn"/>
    <s v="Burger"/>
    <n v="3"/>
    <n v="45000"/>
    <n v="135000"/>
    <s v="Tại quán"/>
    <m/>
  </r>
  <r>
    <s v="QB-240111"/>
    <d v="2023-04-10T00:00:00"/>
    <s v="Lê Thị Cẩm"/>
    <x v="2"/>
    <s v="Trà Đào"/>
    <s v="Nước uống"/>
    <n v="5"/>
    <n v="25000"/>
    <n v="125000"/>
    <s v="Tại quán"/>
    <m/>
  </r>
  <r>
    <s v="QB-240112"/>
    <d v="2023-04-11T00:00:00"/>
    <s v="Trần Văn Bình"/>
    <x v="0"/>
    <s v="Gà Rán 2 Miếng"/>
    <s v="Gà rán"/>
    <n v="2"/>
    <n v="59000"/>
    <n v="118000"/>
    <s v="ShopeeFood"/>
    <m/>
  </r>
  <r>
    <s v="QB-240113"/>
    <d v="2023-04-11T00:00:00"/>
    <s v="Phạm Hoàng Dũng"/>
    <x v="2"/>
    <s v="Gà Rán 2 Miếng"/>
    <s v="Gà rán"/>
    <n v="3"/>
    <n v="59000"/>
    <n v="177000"/>
    <s v="ShopeeFood"/>
    <s v="Không hành"/>
  </r>
  <r>
    <s v="QB-240114"/>
    <d v="2023-04-12T00:00:00"/>
    <s v="Nguyễn Minh Anh"/>
    <x v="0"/>
    <s v="Pizza Hải Sản"/>
    <s v="Pizza"/>
    <n v="4"/>
    <n v="189000"/>
    <n v="756000"/>
    <s v="Grab"/>
    <s v="Thêm tương ớt"/>
  </r>
  <r>
    <s v="QB-240115"/>
    <d v="2023-04-13T00:00:00"/>
    <s v="Nguyễn Minh Anh"/>
    <x v="0"/>
    <s v="Pepsi"/>
    <s v="Nước uống"/>
    <n v="5"/>
    <n v="18000"/>
    <n v="90000"/>
    <s v="Grab"/>
    <s v="Không hành"/>
  </r>
  <r>
    <s v="QB-240116"/>
    <d v="2023-04-14T00:00:00"/>
    <s v="Lê Thị Cẩm"/>
    <x v="2"/>
    <s v="Pizza Pepperoni"/>
    <s v="Pizza"/>
    <n v="4"/>
    <n v="159000"/>
    <n v="636000"/>
    <s v="Grab"/>
    <s v="Ít đá"/>
  </r>
  <r>
    <s v="QB-240117"/>
    <d v="2023-04-15T00:00:00"/>
    <s v="Hoàng Thị Em"/>
    <x v="1"/>
    <s v="Trà Đào"/>
    <s v="Nước uống"/>
    <n v="2"/>
    <n v="25000"/>
    <n v="50000"/>
    <s v="Grab"/>
    <m/>
  </r>
  <r>
    <s v="QB-240118"/>
    <d v="2023-04-15T00:00:00"/>
    <s v="Phạm Hoàng Dũng"/>
    <x v="2"/>
    <s v="Gà Rán 5 Miếng"/>
    <s v="Gà rán"/>
    <n v="1"/>
    <n v="129000"/>
    <n v="129000"/>
    <s v="Grab"/>
    <s v="Khách VIP"/>
  </r>
  <r>
    <s v="QB-240119"/>
    <d v="2023-04-16T00:00:00"/>
    <s v="Võ Văn Phúc"/>
    <x v="1"/>
    <s v="Coca Cola"/>
    <s v="Nước uống"/>
    <n v="4"/>
    <n v="18000"/>
    <n v="72000"/>
    <s v="ShopeeFood"/>
    <m/>
  </r>
  <r>
    <s v="QB-240120"/>
    <d v="2023-04-17T00:00:00"/>
    <s v="Trần Văn Bình"/>
    <x v="0"/>
    <s v="Khoai Tây Chiên (M)"/>
    <s v="Món phụ"/>
    <n v="5"/>
    <n v="25000"/>
    <n v="125000"/>
    <s v="Tại quán"/>
    <s v="Giao gấp"/>
  </r>
  <r>
    <s v="QB-240121"/>
    <d v="2023-04-18T00:00:00"/>
    <s v="Hoàng Thị Em"/>
    <x v="1"/>
    <s v="Khoai Tây Chiên (L)"/>
    <s v="Món phụ"/>
    <n v="1"/>
    <n v="35000"/>
    <n v="35000"/>
    <s v="Tại quán"/>
    <s v="Giao gấp"/>
  </r>
  <r>
    <s v="QB-240122"/>
    <d v="2023-04-18T00:00:00"/>
    <s v="Phạm Hoàng Dũng"/>
    <x v="2"/>
    <s v="Burger Tôm"/>
    <s v="Burger"/>
    <n v="1"/>
    <n v="65000"/>
    <n v="65000"/>
    <s v="Grab"/>
    <s v="Giao gấp"/>
  </r>
  <r>
    <s v="QB-240123"/>
    <d v="2023-04-19T00:00:00"/>
    <s v="Trần Văn Bình"/>
    <x v="0"/>
    <s v="Gà Rán 5 Miếng"/>
    <s v="Gà rán"/>
    <n v="3"/>
    <n v="129000"/>
    <n v="387000"/>
    <s v="Grab"/>
    <s v="Giao gấp"/>
  </r>
  <r>
    <s v="QB-240124"/>
    <d v="2023-04-20T00:00:00"/>
    <s v="Phạm Hoàng Dũng"/>
    <x v="2"/>
    <s v="Pizza Pepperoni"/>
    <s v="Pizza"/>
    <n v="1"/>
    <n v="159000"/>
    <n v="159000"/>
    <s v="Grab"/>
    <m/>
  </r>
  <r>
    <s v="QB-240125"/>
    <d v="2023-04-21T00:00:00"/>
    <s v="Nguyễn Minh Anh"/>
    <x v="0"/>
    <s v="Pizza Rau Củ"/>
    <s v="Pizza"/>
    <n v="2"/>
    <n v="129000"/>
    <n v="258000"/>
    <s v="ShopeeFood"/>
    <m/>
  </r>
  <r>
    <s v="QB-240126"/>
    <d v="2023-04-22T00:00:00"/>
    <s v="Nguyễn Minh Anh"/>
    <x v="0"/>
    <s v="Coca Cola"/>
    <s v="Nước uống"/>
    <n v="1"/>
    <n v="18000"/>
    <n v="18000"/>
    <s v="Tại quán"/>
    <m/>
  </r>
  <r>
    <s v="QB-240127"/>
    <d v="2023-04-23T00:00:00"/>
    <s v="Hoàng Thị Em"/>
    <x v="1"/>
    <s v="Burger Tôm"/>
    <s v="Burger"/>
    <n v="2"/>
    <n v="65000"/>
    <n v="130000"/>
    <s v="Tại quán"/>
    <s v="Không hành"/>
  </r>
  <r>
    <s v="QB-240128"/>
    <d v="2023-04-23T00:00:00"/>
    <s v="Nguyễn Minh Anh"/>
    <x v="0"/>
    <s v="Khoai Tây Chiên (M)"/>
    <s v="Món phụ"/>
    <n v="2"/>
    <n v="25000"/>
    <n v="50000"/>
    <s v="Grab"/>
    <m/>
  </r>
  <r>
    <s v="QB-240129"/>
    <d v="2023-04-24T00:00:00"/>
    <s v="Trần Văn Bình"/>
    <x v="0"/>
    <s v="Khoai Tây Chiên (M)"/>
    <s v="Món phụ"/>
    <n v="5"/>
    <n v="25000"/>
    <n v="125000"/>
    <s v="ShopeeFood"/>
    <m/>
  </r>
  <r>
    <s v="QB-240130"/>
    <d v="2023-04-25T00:00:00"/>
    <s v="Lê Thị Cẩm"/>
    <x v="2"/>
    <s v="Burger Gà Giòn"/>
    <s v="Burger"/>
    <n v="5"/>
    <n v="45000"/>
    <n v="225000"/>
    <s v="Tại quán"/>
    <m/>
  </r>
  <r>
    <s v="QB-240131"/>
    <d v="2023-04-26T00:00:00"/>
    <s v="Võ Văn Phúc"/>
    <x v="1"/>
    <s v="Trà Đào"/>
    <s v="Nước uống"/>
    <n v="4"/>
    <n v="25000"/>
    <n v="100000"/>
    <s v="Grab"/>
    <m/>
  </r>
  <r>
    <s v="QB-240132"/>
    <d v="2023-04-27T00:00:00"/>
    <s v="Hoàng Thị Em"/>
    <x v="1"/>
    <s v="Salad Trộn"/>
    <s v="Món phụ"/>
    <n v="2"/>
    <n v="39000"/>
    <n v="78000"/>
    <s v="Tại quán"/>
    <m/>
  </r>
  <r>
    <s v="QB-240133"/>
    <d v="2023-04-28T00:00:00"/>
    <s v="Hoàng Thị Em"/>
    <x v="1"/>
    <s v="Coca Cola"/>
    <s v="Nước uống"/>
    <n v="1"/>
    <n v="18000"/>
    <n v="18000"/>
    <s v="ShopeeFood"/>
    <m/>
  </r>
  <r>
    <s v="QB-240134"/>
    <d v="2023-04-29T00:00:00"/>
    <s v="Hoàng Thị Em"/>
    <x v="1"/>
    <s v="Gà Rán 2 Miếng"/>
    <s v="Gà rán"/>
    <n v="3"/>
    <n v="59000"/>
    <n v="177000"/>
    <s v="Tại quán"/>
    <s v="Ít đá"/>
  </r>
  <r>
    <s v="QB-240135"/>
    <d v="2023-04-30T00:00:00"/>
    <s v="Lê Thị Cẩm"/>
    <x v="2"/>
    <s v="Burger Bò Phô Mai"/>
    <s v="Burger"/>
    <n v="4"/>
    <n v="55000"/>
    <n v="220000"/>
    <s v="Grab"/>
    <m/>
  </r>
  <r>
    <s v="QB-240136"/>
    <d v="2023-06-14T00:00:00"/>
    <s v="Lê Thị Cẩm"/>
    <x v="2"/>
    <s v="Khoai Tây Chiên (L)"/>
    <s v="Món phụ"/>
    <n v="4"/>
    <n v="35000"/>
    <n v="140000"/>
    <s v="ShopeeFood"/>
    <m/>
  </r>
  <r>
    <s v="QB-240137"/>
    <d v="2023-06-15T00:00:00"/>
    <s v="Trần Văn Bình"/>
    <x v="0"/>
    <s v="Salad Trộn"/>
    <s v="Món phụ"/>
    <n v="5"/>
    <n v="39000"/>
    <n v="195000"/>
    <s v="ShopeeFood"/>
    <m/>
  </r>
  <r>
    <s v="QB-240138"/>
    <d v="2023-06-16T00:00:00"/>
    <s v="Hoàng Thị Em"/>
    <x v="1"/>
    <s v="Coca Cola"/>
    <s v="Nước uống"/>
    <n v="4"/>
    <n v="18000"/>
    <n v="72000"/>
    <s v="Grab"/>
    <s v="Giao gấp"/>
  </r>
  <r>
    <s v="QB-240139"/>
    <d v="2023-06-17T00:00:00"/>
    <s v="Lê Thị Cẩm"/>
    <x v="2"/>
    <s v="Pizza Rau Củ"/>
    <s v="Pizza"/>
    <n v="2"/>
    <n v="129000"/>
    <n v="258000"/>
    <s v="Tại quán"/>
    <m/>
  </r>
  <r>
    <s v="QB-240140"/>
    <d v="2023-06-18T00:00:00"/>
    <s v="Trần Văn Bình"/>
    <x v="0"/>
    <s v="Coca Cola"/>
    <s v="Nước uống"/>
    <n v="4"/>
    <n v="18000"/>
    <n v="72000"/>
    <s v="ShopeeFood"/>
    <s v="Thêm tương ớt"/>
  </r>
  <r>
    <s v="QB-240141"/>
    <d v="2023-06-19T00:00:00"/>
    <s v="Phạm Hoàng Dũng"/>
    <x v="2"/>
    <s v="Pizza Rau Củ"/>
    <s v="Pizza"/>
    <n v="1"/>
    <n v="129000"/>
    <n v="129000"/>
    <s v="Grab"/>
    <s v="Khách VIP"/>
  </r>
  <r>
    <s v="QB-240142"/>
    <d v="2023-06-20T00:00:00"/>
    <s v="Phạm Hoàng Dũng"/>
    <x v="2"/>
    <s v="Pizza Hải Sản"/>
    <s v="Pizza"/>
    <n v="3"/>
    <n v="189000"/>
    <n v="567000"/>
    <s v="Grab"/>
    <s v="Khách VIP"/>
  </r>
  <r>
    <s v="QB-240143"/>
    <d v="2023-06-21T00:00:00"/>
    <s v="Hoàng Thị Em"/>
    <x v="1"/>
    <s v="Salad Trộn"/>
    <s v="Món phụ"/>
    <n v="3"/>
    <n v="39000"/>
    <n v="117000"/>
    <s v="ShopeeFood"/>
    <m/>
  </r>
  <r>
    <s v="QB-240144"/>
    <d v="2023-06-22T00:00:00"/>
    <s v="Trần Văn Bình"/>
    <x v="0"/>
    <s v="Burger Gà Giòn"/>
    <s v="Burger"/>
    <n v="2"/>
    <n v="45000"/>
    <n v="90000"/>
    <s v="ShopeeFood"/>
    <s v="Giao gấp"/>
  </r>
  <r>
    <s v="QB-240145"/>
    <d v="2023-06-23T00:00:00"/>
    <s v="Hoàng Thị Em"/>
    <x v="1"/>
    <s v="Coca Cola"/>
    <s v="Nước uống"/>
    <n v="2"/>
    <n v="18000"/>
    <n v="36000"/>
    <s v="ShopeeFood"/>
    <s v="Không hành"/>
  </r>
  <r>
    <s v="QB-240146"/>
    <d v="2023-06-24T00:00:00"/>
    <s v="Võ Văn Phúc"/>
    <x v="1"/>
    <s v="Gà Rán 5 Miếng"/>
    <s v="Gà rán"/>
    <n v="4"/>
    <n v="129000"/>
    <n v="516000"/>
    <s v="Tại quán"/>
    <m/>
  </r>
  <r>
    <s v="QB-240147"/>
    <d v="2023-06-25T00:00:00"/>
    <s v="Trần Văn Bình"/>
    <x v="0"/>
    <s v="Gà Rán 2 Miếng"/>
    <s v="Gà rán"/>
    <n v="2"/>
    <n v="59000"/>
    <n v="118000"/>
    <s v="Grab"/>
    <s v="Thêm tương ớt"/>
  </r>
  <r>
    <s v="QB-240148"/>
    <d v="2023-06-26T00:00:00"/>
    <s v="Phạm Hoàng Dũng"/>
    <x v="2"/>
    <s v="Cánh Gà Chiên Mắm"/>
    <s v="Gà rán"/>
    <n v="5"/>
    <n v="79000"/>
    <n v="395000"/>
    <s v="Grab"/>
    <s v="Giao gấp"/>
  </r>
  <r>
    <s v="QB-240149"/>
    <d v="2023-06-27T00:00:00"/>
    <s v="Lê Thị Cẩm"/>
    <x v="2"/>
    <s v="Pizza Rau Củ"/>
    <s v="Pizza"/>
    <n v="4"/>
    <n v="129000"/>
    <n v="516000"/>
    <s v="Grab"/>
    <m/>
  </r>
  <r>
    <s v="QB-240150"/>
    <d v="2023-06-28T00:00:00"/>
    <s v="Trần Văn Bình"/>
    <x v="0"/>
    <s v="Burger Gà Giòn"/>
    <s v="Burger"/>
    <n v="2"/>
    <n v="45000"/>
    <n v="90000"/>
    <s v="Grab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17C1E-834A-4CA9-A9CC-7D495C6A8D8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3" showAll="0"/>
    <pivotField dataField="1" numFmtId="3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hành tiền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EA49E-3DF4-4919-97CF-14425111116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dataField="1"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ã đơn hàn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3686-5043-4A3E-9F5E-88C84F19CC65}">
  <dimension ref="A1:C5"/>
  <sheetViews>
    <sheetView workbookViewId="0">
      <selection activeCell="B7" sqref="B7"/>
    </sheetView>
  </sheetViews>
  <sheetFormatPr defaultRowHeight="14.4" x14ac:dyDescent="0.3"/>
  <cols>
    <col min="1" max="1" width="12.5546875" customWidth="1"/>
    <col min="2" max="2" width="25.6640625" customWidth="1"/>
    <col min="3" max="3" width="28.109375" customWidth="1"/>
  </cols>
  <sheetData>
    <row r="1" spans="1:3" ht="15.6" x14ac:dyDescent="0.3">
      <c r="A1" s="14" t="s">
        <v>3</v>
      </c>
      <c r="B1" s="14" t="s">
        <v>199</v>
      </c>
      <c r="C1" s="14" t="s">
        <v>200</v>
      </c>
    </row>
    <row r="2" spans="1:3" ht="15" x14ac:dyDescent="0.3">
      <c r="A2" s="15" t="s">
        <v>13</v>
      </c>
      <c r="B2" s="20">
        <v>10599000</v>
      </c>
      <c r="C2" s="15">
        <v>3</v>
      </c>
    </row>
    <row r="3" spans="1:3" ht="15" x14ac:dyDescent="0.3">
      <c r="A3" s="15" t="s">
        <v>35</v>
      </c>
      <c r="B3" s="20">
        <v>11529000</v>
      </c>
      <c r="C3" s="15">
        <v>1</v>
      </c>
    </row>
    <row r="4" spans="1:3" ht="15" x14ac:dyDescent="0.3">
      <c r="A4" s="15" t="s">
        <v>19</v>
      </c>
      <c r="B4" s="20">
        <v>9573000</v>
      </c>
      <c r="C4" s="15">
        <v>2</v>
      </c>
    </row>
    <row r="5" spans="1:3" ht="15.6" x14ac:dyDescent="0.3">
      <c r="A5" s="16" t="s">
        <v>201</v>
      </c>
      <c r="B5" s="21">
        <v>31701000</v>
      </c>
      <c r="C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5F1E-1D3E-40FD-BA55-6306902CEF08}">
  <dimension ref="A1:C4"/>
  <sheetViews>
    <sheetView tabSelected="1" workbookViewId="0">
      <selection activeCell="C29" sqref="C29"/>
    </sheetView>
  </sheetViews>
  <sheetFormatPr defaultRowHeight="14.4" x14ac:dyDescent="0.3"/>
  <cols>
    <col min="1" max="1" width="24.6640625" customWidth="1"/>
    <col min="2" max="2" width="20.33203125" customWidth="1"/>
    <col min="3" max="3" width="28.33203125" customWidth="1"/>
  </cols>
  <sheetData>
    <row r="1" spans="1:3" ht="15.6" x14ac:dyDescent="0.3">
      <c r="A1" s="14" t="s">
        <v>3</v>
      </c>
      <c r="B1" s="14" t="s">
        <v>206</v>
      </c>
      <c r="C1" s="14" t="s">
        <v>207</v>
      </c>
    </row>
    <row r="2" spans="1:3" ht="15" x14ac:dyDescent="0.3">
      <c r="A2" s="15" t="s">
        <v>13</v>
      </c>
      <c r="B2" s="19">
        <v>57</v>
      </c>
      <c r="C2" s="18">
        <f>'Nhiệm vụ 1'!B2/'Nhiệm vụ 2'!B2</f>
        <v>185947.36842105264</v>
      </c>
    </row>
    <row r="3" spans="1:3" ht="15" x14ac:dyDescent="0.3">
      <c r="A3" s="15" t="s">
        <v>35</v>
      </c>
      <c r="B3" s="19">
        <v>46</v>
      </c>
      <c r="C3" s="18">
        <f>'Nhiệm vụ 1'!B3/'Nhiệm vụ 2'!B3</f>
        <v>250630.4347826087</v>
      </c>
    </row>
    <row r="4" spans="1:3" ht="15" x14ac:dyDescent="0.3">
      <c r="A4" s="15" t="s">
        <v>19</v>
      </c>
      <c r="B4" s="19">
        <v>47</v>
      </c>
      <c r="C4" s="18">
        <f>'Nhiệm vụ 1'!B4/'Nhiệm vụ 2'!B4</f>
        <v>203680.85106382979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54D2-B8D1-4E14-A7CB-C3FDC69171F9}">
  <dimension ref="A3:B7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11" t="s">
        <v>202</v>
      </c>
      <c r="B3" t="s">
        <v>204</v>
      </c>
    </row>
    <row r="4" spans="1:2" x14ac:dyDescent="0.3">
      <c r="A4" s="12" t="s">
        <v>35</v>
      </c>
      <c r="B4" s="13">
        <v>11529000</v>
      </c>
    </row>
    <row r="5" spans="1:2" x14ac:dyDescent="0.3">
      <c r="A5" s="12" t="s">
        <v>13</v>
      </c>
      <c r="B5" s="13">
        <v>10599000</v>
      </c>
    </row>
    <row r="6" spans="1:2" x14ac:dyDescent="0.3">
      <c r="A6" s="12" t="s">
        <v>19</v>
      </c>
      <c r="B6" s="13">
        <v>9573000</v>
      </c>
    </row>
    <row r="7" spans="1:2" x14ac:dyDescent="0.3">
      <c r="A7" s="12" t="s">
        <v>203</v>
      </c>
      <c r="B7" s="13">
        <v>31701000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8275-2EDA-437C-83A2-99AA970A3CEC}">
  <dimension ref="A3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11" t="s">
        <v>202</v>
      </c>
      <c r="B3" t="s">
        <v>205</v>
      </c>
    </row>
    <row r="4" spans="1:2" x14ac:dyDescent="0.3">
      <c r="A4" s="12" t="s">
        <v>35</v>
      </c>
      <c r="B4" s="17">
        <v>46</v>
      </c>
    </row>
    <row r="5" spans="1:2" x14ac:dyDescent="0.3">
      <c r="A5" s="12" t="s">
        <v>13</v>
      </c>
      <c r="B5" s="17">
        <v>57</v>
      </c>
    </row>
    <row r="6" spans="1:2" x14ac:dyDescent="0.3">
      <c r="A6" s="12" t="s">
        <v>19</v>
      </c>
      <c r="B6" s="17">
        <v>47</v>
      </c>
    </row>
    <row r="7" spans="1:2" x14ac:dyDescent="0.3">
      <c r="A7" s="12" t="s">
        <v>203</v>
      </c>
      <c r="B7" s="17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sqref="A1:K151"/>
    </sheetView>
  </sheetViews>
  <sheetFormatPr defaultRowHeight="14.4" x14ac:dyDescent="0.3"/>
  <cols>
    <col min="1" max="1" width="15" customWidth="1"/>
    <col min="2" max="2" width="21.109375" style="10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</cols>
  <sheetData>
    <row r="1" spans="1:11" ht="15.6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6" x14ac:dyDescent="0.3">
      <c r="A2" s="4" t="s">
        <v>11</v>
      </c>
      <c r="B2" s="8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6" x14ac:dyDescent="0.3">
      <c r="A3" s="4" t="s">
        <v>17</v>
      </c>
      <c r="B3" s="8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6" x14ac:dyDescent="0.3">
      <c r="A4" s="4" t="s">
        <v>22</v>
      </c>
      <c r="B4" s="8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6" x14ac:dyDescent="0.3">
      <c r="A5" s="4" t="s">
        <v>23</v>
      </c>
      <c r="B5" s="8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6" x14ac:dyDescent="0.3">
      <c r="A6" s="4" t="s">
        <v>26</v>
      </c>
      <c r="B6" s="8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6" x14ac:dyDescent="0.3">
      <c r="A7" s="4" t="s">
        <v>31</v>
      </c>
      <c r="B7" s="8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6" x14ac:dyDescent="0.3">
      <c r="A8" s="4" t="s">
        <v>33</v>
      </c>
      <c r="B8" s="8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6" x14ac:dyDescent="0.3">
      <c r="A9" s="4" t="s">
        <v>36</v>
      </c>
      <c r="B9" s="8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6" x14ac:dyDescent="0.3">
      <c r="A10" s="4" t="s">
        <v>40</v>
      </c>
      <c r="B10" s="8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6" x14ac:dyDescent="0.3">
      <c r="A11" s="4" t="s">
        <v>43</v>
      </c>
      <c r="B11" s="8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6" x14ac:dyDescent="0.3">
      <c r="A12" s="4" t="s">
        <v>45</v>
      </c>
      <c r="B12" s="8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6" x14ac:dyDescent="0.3">
      <c r="A13" s="4" t="s">
        <v>46</v>
      </c>
      <c r="B13" s="8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6" x14ac:dyDescent="0.3">
      <c r="A14" s="4" t="s">
        <v>48</v>
      </c>
      <c r="B14" s="8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6" x14ac:dyDescent="0.3">
      <c r="A15" s="4" t="s">
        <v>51</v>
      </c>
      <c r="B15" s="8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6" x14ac:dyDescent="0.3">
      <c r="A16" s="4" t="s">
        <v>53</v>
      </c>
      <c r="B16" s="8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6" x14ac:dyDescent="0.3">
      <c r="A17" s="4" t="s">
        <v>56</v>
      </c>
      <c r="B17" s="8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6" x14ac:dyDescent="0.3">
      <c r="A18" s="4" t="s">
        <v>58</v>
      </c>
      <c r="B18" s="8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6" x14ac:dyDescent="0.3">
      <c r="A19" s="4" t="s">
        <v>60</v>
      </c>
      <c r="B19" s="8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6" x14ac:dyDescent="0.3">
      <c r="A20" s="4" t="s">
        <v>61</v>
      </c>
      <c r="B20" s="8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6" x14ac:dyDescent="0.3">
      <c r="A21" s="4" t="s">
        <v>62</v>
      </c>
      <c r="B21" s="8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6" x14ac:dyDescent="0.3">
      <c r="A22" s="4" t="s">
        <v>64</v>
      </c>
      <c r="B22" s="8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6" x14ac:dyDescent="0.3">
      <c r="A23" s="4" t="s">
        <v>65</v>
      </c>
      <c r="B23" s="8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6" x14ac:dyDescent="0.3">
      <c r="A24" s="4" t="s">
        <v>66</v>
      </c>
      <c r="B24" s="8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6" x14ac:dyDescent="0.3">
      <c r="A25" s="4" t="s">
        <v>67</v>
      </c>
      <c r="B25" s="8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6" x14ac:dyDescent="0.3">
      <c r="A26" s="4" t="s">
        <v>69</v>
      </c>
      <c r="B26" s="8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6" x14ac:dyDescent="0.3">
      <c r="A27" s="4" t="s">
        <v>71</v>
      </c>
      <c r="B27" s="8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6" x14ac:dyDescent="0.3">
      <c r="A28" s="4" t="s">
        <v>72</v>
      </c>
      <c r="B28" s="8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6" x14ac:dyDescent="0.3">
      <c r="A29" s="4" t="s">
        <v>73</v>
      </c>
      <c r="B29" s="8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6" x14ac:dyDescent="0.3">
      <c r="A30" s="4" t="s">
        <v>75</v>
      </c>
      <c r="B30" s="8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6" x14ac:dyDescent="0.3">
      <c r="A31" s="4" t="s">
        <v>76</v>
      </c>
      <c r="B31" s="8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6" x14ac:dyDescent="0.3">
      <c r="A32" s="4" t="s">
        <v>77</v>
      </c>
      <c r="B32" s="8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6" x14ac:dyDescent="0.3">
      <c r="A33" s="4" t="s">
        <v>78</v>
      </c>
      <c r="B33" s="8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6" x14ac:dyDescent="0.3">
      <c r="A34" s="4" t="s">
        <v>79</v>
      </c>
      <c r="B34" s="8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6" x14ac:dyDescent="0.3">
      <c r="A35" s="4" t="s">
        <v>80</v>
      </c>
      <c r="B35" s="8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6" x14ac:dyDescent="0.3">
      <c r="A36" s="4" t="s">
        <v>81</v>
      </c>
      <c r="B36" s="8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6" x14ac:dyDescent="0.3">
      <c r="A37" s="4" t="s">
        <v>82</v>
      </c>
      <c r="B37" s="8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6" x14ac:dyDescent="0.3">
      <c r="A38" s="4" t="s">
        <v>83</v>
      </c>
      <c r="B38" s="8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6" x14ac:dyDescent="0.3">
      <c r="A39" s="4" t="s">
        <v>84</v>
      </c>
      <c r="B39" s="8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6" x14ac:dyDescent="0.3">
      <c r="A40" s="4" t="s">
        <v>85</v>
      </c>
      <c r="B40" s="8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6" x14ac:dyDescent="0.3">
      <c r="A41" s="4" t="s">
        <v>86</v>
      </c>
      <c r="B41" s="8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6" x14ac:dyDescent="0.3">
      <c r="A42" s="4" t="s">
        <v>87</v>
      </c>
      <c r="B42" s="8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6" x14ac:dyDescent="0.3">
      <c r="A43" s="4" t="s">
        <v>88</v>
      </c>
      <c r="B43" s="8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6" x14ac:dyDescent="0.3">
      <c r="A44" s="4" t="s">
        <v>89</v>
      </c>
      <c r="B44" s="8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6" x14ac:dyDescent="0.3">
      <c r="A45" s="4" t="s">
        <v>90</v>
      </c>
      <c r="B45" s="8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6" x14ac:dyDescent="0.3">
      <c r="A46" s="4" t="s">
        <v>91</v>
      </c>
      <c r="B46" s="8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6" x14ac:dyDescent="0.3">
      <c r="A47" s="4" t="s">
        <v>92</v>
      </c>
      <c r="B47" s="8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6" x14ac:dyDescent="0.3">
      <c r="A48" s="4" t="s">
        <v>93</v>
      </c>
      <c r="B48" s="8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6" x14ac:dyDescent="0.3">
      <c r="A49" s="4" t="s">
        <v>94</v>
      </c>
      <c r="B49" s="8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6" x14ac:dyDescent="0.3">
      <c r="A50" s="4" t="s">
        <v>95</v>
      </c>
      <c r="B50" s="8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6" x14ac:dyDescent="0.3">
      <c r="A51" s="4" t="s">
        <v>96</v>
      </c>
      <c r="B51" s="8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6" x14ac:dyDescent="0.3">
      <c r="A52" s="4" t="s">
        <v>97</v>
      </c>
      <c r="B52" s="8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6" x14ac:dyDescent="0.3">
      <c r="A53" s="4" t="s">
        <v>98</v>
      </c>
      <c r="B53" s="8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6" x14ac:dyDescent="0.3">
      <c r="A54" s="4" t="s">
        <v>100</v>
      </c>
      <c r="B54" s="8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6" x14ac:dyDescent="0.3">
      <c r="A55" s="4" t="s">
        <v>101</v>
      </c>
      <c r="B55" s="8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6" x14ac:dyDescent="0.3">
      <c r="A56" s="4" t="s">
        <v>102</v>
      </c>
      <c r="B56" s="8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6" x14ac:dyDescent="0.3">
      <c r="A57" s="4" t="s">
        <v>103</v>
      </c>
      <c r="B57" s="8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6" x14ac:dyDescent="0.3">
      <c r="A58" s="4" t="s">
        <v>104</v>
      </c>
      <c r="B58" s="8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6" x14ac:dyDescent="0.3">
      <c r="A59" s="4" t="s">
        <v>105</v>
      </c>
      <c r="B59" s="8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6" x14ac:dyDescent="0.3">
      <c r="A60" s="4" t="s">
        <v>106</v>
      </c>
      <c r="B60" s="8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6" x14ac:dyDescent="0.3">
      <c r="A61" s="4" t="s">
        <v>107</v>
      </c>
      <c r="B61" s="8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6" x14ac:dyDescent="0.3">
      <c r="A62" s="4" t="s">
        <v>108</v>
      </c>
      <c r="B62" s="8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6" x14ac:dyDescent="0.3">
      <c r="A63" s="4" t="s">
        <v>109</v>
      </c>
      <c r="B63" s="8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6" x14ac:dyDescent="0.3">
      <c r="A64" s="4" t="s">
        <v>110</v>
      </c>
      <c r="B64" s="8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6" x14ac:dyDescent="0.3">
      <c r="A65" s="4" t="s">
        <v>111</v>
      </c>
      <c r="B65" s="8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6" x14ac:dyDescent="0.3">
      <c r="A66" s="4" t="s">
        <v>112</v>
      </c>
      <c r="B66" s="8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6" x14ac:dyDescent="0.3">
      <c r="A67" s="4" t="s">
        <v>113</v>
      </c>
      <c r="B67" s="8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6" x14ac:dyDescent="0.3">
      <c r="A68" s="4" t="s">
        <v>114</v>
      </c>
      <c r="B68" s="8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6" x14ac:dyDescent="0.3">
      <c r="A69" s="4" t="s">
        <v>115</v>
      </c>
      <c r="B69" s="8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6" x14ac:dyDescent="0.3">
      <c r="A70" s="4" t="s">
        <v>116</v>
      </c>
      <c r="B70" s="8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6" x14ac:dyDescent="0.3">
      <c r="A71" s="4" t="s">
        <v>117</v>
      </c>
      <c r="B71" s="8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6" x14ac:dyDescent="0.3">
      <c r="A72" s="4" t="s">
        <v>118</v>
      </c>
      <c r="B72" s="8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6" x14ac:dyDescent="0.3">
      <c r="A73" s="4" t="s">
        <v>119</v>
      </c>
      <c r="B73" s="8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6" x14ac:dyDescent="0.3">
      <c r="A74" s="4" t="s">
        <v>120</v>
      </c>
      <c r="B74" s="8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6" x14ac:dyDescent="0.3">
      <c r="A75" s="4" t="s">
        <v>121</v>
      </c>
      <c r="B75" s="8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6" x14ac:dyDescent="0.3">
      <c r="A76" s="4" t="s">
        <v>122</v>
      </c>
      <c r="B76" s="8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6" x14ac:dyDescent="0.3">
      <c r="A77" s="4" t="s">
        <v>123</v>
      </c>
      <c r="B77" s="8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6" x14ac:dyDescent="0.3">
      <c r="A78" s="4" t="s">
        <v>124</v>
      </c>
      <c r="B78" s="8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6" x14ac:dyDescent="0.3">
      <c r="A79" s="4" t="s">
        <v>125</v>
      </c>
      <c r="B79" s="8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6" x14ac:dyDescent="0.3">
      <c r="A80" s="4" t="s">
        <v>126</v>
      </c>
      <c r="B80" s="8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6" x14ac:dyDescent="0.3">
      <c r="A81" s="4" t="s">
        <v>127</v>
      </c>
      <c r="B81" s="8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6" x14ac:dyDescent="0.3">
      <c r="A82" s="4" t="s">
        <v>128</v>
      </c>
      <c r="B82" s="8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6" x14ac:dyDescent="0.3">
      <c r="A83" s="4" t="s">
        <v>129</v>
      </c>
      <c r="B83" s="8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6" x14ac:dyDescent="0.3">
      <c r="A84" s="4" t="s">
        <v>130</v>
      </c>
      <c r="B84" s="8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6" x14ac:dyDescent="0.3">
      <c r="A85" s="4" t="s">
        <v>131</v>
      </c>
      <c r="B85" s="8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6" x14ac:dyDescent="0.3">
      <c r="A86" s="4" t="s">
        <v>132</v>
      </c>
      <c r="B86" s="8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6" x14ac:dyDescent="0.3">
      <c r="A87" s="4" t="s">
        <v>133</v>
      </c>
      <c r="B87" s="8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6" x14ac:dyDescent="0.3">
      <c r="A88" s="4" t="s">
        <v>134</v>
      </c>
      <c r="B88" s="8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6" x14ac:dyDescent="0.3">
      <c r="A89" s="4" t="s">
        <v>135</v>
      </c>
      <c r="B89" s="8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6" x14ac:dyDescent="0.3">
      <c r="A90" s="4" t="s">
        <v>136</v>
      </c>
      <c r="B90" s="8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6" x14ac:dyDescent="0.3">
      <c r="A91" s="4" t="s">
        <v>137</v>
      </c>
      <c r="B91" s="8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6" x14ac:dyDescent="0.3">
      <c r="A92" s="4" t="s">
        <v>138</v>
      </c>
      <c r="B92" s="8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6" x14ac:dyDescent="0.3">
      <c r="A93" s="4" t="s">
        <v>139</v>
      </c>
      <c r="B93" s="8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6" x14ac:dyDescent="0.3">
      <c r="A94" s="4" t="s">
        <v>140</v>
      </c>
      <c r="B94" s="8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6" x14ac:dyDescent="0.3">
      <c r="A95" s="4" t="s">
        <v>141</v>
      </c>
      <c r="B95" s="8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6" x14ac:dyDescent="0.3">
      <c r="A96" s="4" t="s">
        <v>142</v>
      </c>
      <c r="B96" s="8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6" x14ac:dyDescent="0.3">
      <c r="A97" s="4" t="s">
        <v>143</v>
      </c>
      <c r="B97" s="8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6" x14ac:dyDescent="0.3">
      <c r="A98" s="4" t="s">
        <v>144</v>
      </c>
      <c r="B98" s="8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6" x14ac:dyDescent="0.3">
      <c r="A99" s="4" t="s">
        <v>145</v>
      </c>
      <c r="B99" s="8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6" x14ac:dyDescent="0.3">
      <c r="A100" s="4" t="s">
        <v>146</v>
      </c>
      <c r="B100" s="8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6" x14ac:dyDescent="0.3">
      <c r="A101" s="4" t="s">
        <v>147</v>
      </c>
      <c r="B101" s="8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6" x14ac:dyDescent="0.3">
      <c r="A102" s="4" t="s">
        <v>148</v>
      </c>
      <c r="B102" s="8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6" x14ac:dyDescent="0.3">
      <c r="A103" s="4" t="s">
        <v>149</v>
      </c>
      <c r="B103" s="8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6" x14ac:dyDescent="0.3">
      <c r="A104" s="4" t="s">
        <v>150</v>
      </c>
      <c r="B104" s="8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6" x14ac:dyDescent="0.3">
      <c r="A105" s="4" t="s">
        <v>151</v>
      </c>
      <c r="B105" s="8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6" x14ac:dyDescent="0.3">
      <c r="A106" s="4" t="s">
        <v>152</v>
      </c>
      <c r="B106" s="8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6" x14ac:dyDescent="0.3">
      <c r="A107" s="4" t="s">
        <v>153</v>
      </c>
      <c r="B107" s="8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6" x14ac:dyDescent="0.3">
      <c r="A108" s="4" t="s">
        <v>154</v>
      </c>
      <c r="B108" s="8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6" x14ac:dyDescent="0.3">
      <c r="A109" s="4" t="s">
        <v>155</v>
      </c>
      <c r="B109" s="8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6" x14ac:dyDescent="0.3">
      <c r="A110" s="4" t="s">
        <v>156</v>
      </c>
      <c r="B110" s="8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6" x14ac:dyDescent="0.3">
      <c r="A111" s="4" t="s">
        <v>157</v>
      </c>
      <c r="B111" s="8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6" x14ac:dyDescent="0.3">
      <c r="A112" s="4" t="s">
        <v>158</v>
      </c>
      <c r="B112" s="8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 x14ac:dyDescent="0.3">
      <c r="A113" s="4" t="s">
        <v>159</v>
      </c>
      <c r="B113" s="8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 x14ac:dyDescent="0.3">
      <c r="A114" s="4" t="s">
        <v>160</v>
      </c>
      <c r="B114" s="8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 x14ac:dyDescent="0.3">
      <c r="A115" s="4" t="s">
        <v>161</v>
      </c>
      <c r="B115" s="8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 x14ac:dyDescent="0.3">
      <c r="A116" s="4" t="s">
        <v>162</v>
      </c>
      <c r="B116" s="8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 x14ac:dyDescent="0.3">
      <c r="A117" s="4" t="s">
        <v>163</v>
      </c>
      <c r="B117" s="8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 x14ac:dyDescent="0.3">
      <c r="A118" s="4" t="s">
        <v>164</v>
      </c>
      <c r="B118" s="8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 x14ac:dyDescent="0.3">
      <c r="A119" s="4" t="s">
        <v>165</v>
      </c>
      <c r="B119" s="8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 x14ac:dyDescent="0.3">
      <c r="A120" s="4" t="s">
        <v>166</v>
      </c>
      <c r="B120" s="8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 x14ac:dyDescent="0.3">
      <c r="A121" s="4" t="s">
        <v>167</v>
      </c>
      <c r="B121" s="8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 x14ac:dyDescent="0.3">
      <c r="A122" s="4" t="s">
        <v>168</v>
      </c>
      <c r="B122" s="8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 x14ac:dyDescent="0.3">
      <c r="A123" s="4" t="s">
        <v>169</v>
      </c>
      <c r="B123" s="8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 x14ac:dyDescent="0.3">
      <c r="A124" s="4" t="s">
        <v>170</v>
      </c>
      <c r="B124" s="8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 x14ac:dyDescent="0.3">
      <c r="A125" s="4" t="s">
        <v>171</v>
      </c>
      <c r="B125" s="8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 x14ac:dyDescent="0.3">
      <c r="A126" s="4" t="s">
        <v>172</v>
      </c>
      <c r="B126" s="8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 x14ac:dyDescent="0.3">
      <c r="A127" s="4" t="s">
        <v>173</v>
      </c>
      <c r="B127" s="8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 x14ac:dyDescent="0.3">
      <c r="A128" s="4" t="s">
        <v>174</v>
      </c>
      <c r="B128" s="8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6" x14ac:dyDescent="0.3">
      <c r="A129" s="4" t="s">
        <v>175</v>
      </c>
      <c r="B129" s="8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6" x14ac:dyDescent="0.3">
      <c r="A130" s="4" t="s">
        <v>176</v>
      </c>
      <c r="B130" s="8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6" x14ac:dyDescent="0.3">
      <c r="A131" s="4" t="s">
        <v>177</v>
      </c>
      <c r="B131" s="8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6" x14ac:dyDescent="0.3">
      <c r="A132" s="4" t="s">
        <v>178</v>
      </c>
      <c r="B132" s="8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6" x14ac:dyDescent="0.3">
      <c r="A133" s="4" t="s">
        <v>179</v>
      </c>
      <c r="B133" s="8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6" x14ac:dyDescent="0.3">
      <c r="A134" s="4" t="s">
        <v>180</v>
      </c>
      <c r="B134" s="8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6" x14ac:dyDescent="0.3">
      <c r="A135" s="4" t="s">
        <v>181</v>
      </c>
      <c r="B135" s="8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6" x14ac:dyDescent="0.3">
      <c r="A136" s="4" t="s">
        <v>182</v>
      </c>
      <c r="B136" s="8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6" x14ac:dyDescent="0.3">
      <c r="A137" s="4" t="s">
        <v>183</v>
      </c>
      <c r="B137" s="9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6" x14ac:dyDescent="0.3">
      <c r="A138" s="4" t="s">
        <v>184</v>
      </c>
      <c r="B138" s="9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6" x14ac:dyDescent="0.3">
      <c r="A139" s="4" t="s">
        <v>185</v>
      </c>
      <c r="B139" s="9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6" x14ac:dyDescent="0.3">
      <c r="A140" s="4" t="s">
        <v>186</v>
      </c>
      <c r="B140" s="9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6" x14ac:dyDescent="0.3">
      <c r="A141" s="4" t="s">
        <v>187</v>
      </c>
      <c r="B141" s="9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6" x14ac:dyDescent="0.3">
      <c r="A142" s="4" t="s">
        <v>188</v>
      </c>
      <c r="B142" s="9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6" x14ac:dyDescent="0.3">
      <c r="A143" s="4" t="s">
        <v>189</v>
      </c>
      <c r="B143" s="9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6" x14ac:dyDescent="0.3">
      <c r="A144" s="4" t="s">
        <v>190</v>
      </c>
      <c r="B144" s="9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 x14ac:dyDescent="0.3">
      <c r="A145" s="4" t="s">
        <v>191</v>
      </c>
      <c r="B145" s="9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 x14ac:dyDescent="0.3">
      <c r="A146" s="4" t="s">
        <v>192</v>
      </c>
      <c r="B146" s="9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 x14ac:dyDescent="0.3">
      <c r="A147" s="4" t="s">
        <v>193</v>
      </c>
      <c r="B147" s="9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 x14ac:dyDescent="0.3">
      <c r="A148" s="4" t="s">
        <v>194</v>
      </c>
      <c r="B148" s="9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 x14ac:dyDescent="0.3">
      <c r="A149" s="4" t="s">
        <v>195</v>
      </c>
      <c r="B149" s="9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 x14ac:dyDescent="0.3">
      <c r="A150" s="4" t="s">
        <v>196</v>
      </c>
      <c r="B150" s="9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 x14ac:dyDescent="0.3">
      <c r="A151" s="4" t="s">
        <v>197</v>
      </c>
      <c r="B151" s="9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15.6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Nhiệm vụ 1</vt:lpstr>
      <vt:lpstr>Nhiệm vụ 2</vt:lpstr>
      <vt:lpstr>Doanh thu theo chi nhánh</vt:lpstr>
      <vt:lpstr>Số đơn hàng theo từng chi nhánh</vt:lpstr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2026-01-08T08:37:22Z</dcterms:created>
  <dcterms:modified xsi:type="dcterms:W3CDTF">2026-01-22T11:52:08Z</dcterms:modified>
</cp:coreProperties>
</file>